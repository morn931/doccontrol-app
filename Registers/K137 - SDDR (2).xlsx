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codeName="ThisWorkbook"/>
  <mc:AlternateContent xmlns:mc="http://schemas.openxmlformats.org/markup-compatibility/2006">
    <mc:Choice Requires="x15">
      <x15ac:absPath xmlns:x15ac="http://schemas.microsoft.com/office/spreadsheetml/2010/11/ac" url="https://ppetechcoza.sharepoint.com/sites/K137-220kVand33kVOverheadLines/LIVE DOCUMENTS/"/>
    </mc:Choice>
  </mc:AlternateContent>
  <xr:revisionPtr revIDLastSave="2840" documentId="13_ncr:1_{E1B53144-F5A5-4DC5-A42D-A056F62297BB}" xr6:coauthVersionLast="47" xr6:coauthVersionMax="47" xr10:uidLastSave="{2649CB52-6A2F-414D-91C6-3F2838FA0792}"/>
  <bookViews>
    <workbookView xWindow="-120" yWindow="-120" windowWidth="29040" windowHeight="15720" tabRatio="857" firstSheet="1" activeTab="1" xr2:uid="{5FBF82B5-DD77-4890-AF6F-21C0E8A0C9F7}"/>
  </bookViews>
  <sheets>
    <sheet name="Tracker" sheetId="24" state="hidden" r:id="rId1"/>
    <sheet name="Register" sheetId="18" r:id="rId2"/>
    <sheet name="K137 WBS Codes" sheetId="23" r:id="rId3"/>
    <sheet name="Rev10 RDMC WBS Areas" sheetId="22" r:id="rId4"/>
    <sheet name="Discipline Codes" sheetId="3" r:id="rId5"/>
    <sheet name="Document and Drawing Type" sheetId="2" r:id="rId6"/>
  </sheets>
  <externalReferences>
    <externalReference r:id="rId7"/>
    <externalReference r:id="rId8"/>
  </externalReferences>
  <definedNames>
    <definedName name="_xlnm._FilterDatabase" localSheetId="5" hidden="1">'Document and Drawing Type'!$A$3:$E$100</definedName>
    <definedName name="_xlnm._FilterDatabase" localSheetId="2" hidden="1">'K137 WBS Codes'!$A$1:$F$7</definedName>
    <definedName name="_xlnm._FilterDatabase" localSheetId="3" hidden="1">'Rev10 RDMC WBS Areas'!$A$1:$J$1157</definedName>
    <definedName name="_xlnm._FilterDatabase" localSheetId="1" hidden="1">Register!$F$1205:$F$1205</definedName>
    <definedName name="Discipline" localSheetId="2">'[1]Discipline Codes'!$A$5:$A$21</definedName>
    <definedName name="Discipline">'Discipline Codes'!$A$5:$A$23</definedName>
    <definedName name="DISCPPE" localSheetId="2">'[1]Discipline Codes'!$D$5:$D$14</definedName>
    <definedName name="DISCPPE">'Discipline Codes'!#REF!</definedName>
    <definedName name="Month" localSheetId="2">[1]Dropdown!$A$2:$A$13</definedName>
    <definedName name="Month">#REF!</definedName>
    <definedName name="mylist">#REF!</definedName>
    <definedName name="Patterns" localSheetId="2">'[2]List Fields'!$B$2:$B$108</definedName>
    <definedName name="Patterns">#REF!</definedName>
    <definedName name="Phase" localSheetId="2">[1]Dropdown!$D$2:$D$6</definedName>
    <definedName name="Phase">#REF!</definedName>
    <definedName name="PNO" localSheetId="2">[1]Dropdown!$F$2:$F$4</definedName>
    <definedName name="PNO">#REF!</definedName>
    <definedName name="PPE" localSheetId="2">[1]Dropdown!$B$2:$B$3</definedName>
    <definedName name="PPE">#REF!</definedName>
    <definedName name="Project" localSheetId="2">[1]Dropdown!$E$2:$E$3</definedName>
    <definedName name="Project">#REF!</definedName>
    <definedName name="Quote" localSheetId="2">[1]Dropdown!$C$2:$C$3</definedName>
    <definedName name="Quote">#REF!</definedName>
    <definedName name="Rev" localSheetId="2">[1]Revision!$H$2:$H$12</definedName>
    <definedName name="Rev">#REF!</definedName>
    <definedName name="Type" localSheetId="2">'[1]Document and Drawing Type'!$A$8:$A$118</definedName>
    <definedName name="Type">'Document and Drawing Type'!$A$5:$A$29</definedName>
    <definedName name="WBS" localSheetId="2">'K137 WBS Codes'!$E$4:$E$7</definedName>
    <definedName name="WBS">#REF!</definedName>
    <definedName name="WBSD" localSheetId="2">'K137 WBS Codes'!$F$4:$F$7</definedName>
    <definedName name="WBSD">#REF!</definedName>
    <definedName name="_xlnm.Print_Area" localSheetId="2">'K137 WBS Codes'!$A$1:$H$17</definedName>
  </definedNames>
  <calcPr calcId="191028"/>
  <pivotCaches>
    <pivotCache cacheId="35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9" i="18" l="1"/>
  <c r="N5" i="18"/>
  <c r="H5" i="18"/>
  <c r="H39" i="18"/>
  <c r="H4" i="18"/>
  <c r="N6" i="18"/>
  <c r="H64" i="18"/>
  <c r="N9" i="18"/>
  <c r="H9" i="18"/>
  <c r="H14" i="18"/>
  <c r="H1202" i="18"/>
  <c r="R1202" i="18"/>
  <c r="N1202" i="18"/>
  <c r="N7" i="18"/>
  <c r="N10" i="18"/>
  <c r="N11" i="18"/>
  <c r="N12" i="18"/>
  <c r="N13" i="18"/>
  <c r="N14" i="18"/>
  <c r="N16" i="18"/>
  <c r="N17" i="18"/>
  <c r="N18" i="18"/>
  <c r="N19" i="18"/>
  <c r="N20" i="18"/>
  <c r="N21" i="18"/>
  <c r="N22" i="18"/>
  <c r="N23" i="18"/>
  <c r="N24" i="18"/>
  <c r="N25" i="18"/>
  <c r="N26" i="18"/>
  <c r="N27" i="18"/>
  <c r="N33" i="18"/>
  <c r="N34" i="18"/>
  <c r="N36" i="18"/>
  <c r="N37" i="18"/>
  <c r="N41" i="18"/>
  <c r="N42" i="18"/>
  <c r="N43" i="18"/>
  <c r="N44" i="18"/>
  <c r="N45" i="18"/>
  <c r="N46" i="18"/>
  <c r="N47" i="18"/>
  <c r="N48" i="18"/>
  <c r="N49" i="18"/>
  <c r="N50" i="18"/>
  <c r="N51" i="18"/>
  <c r="N40" i="18"/>
  <c r="N52" i="18"/>
  <c r="N53" i="18"/>
  <c r="N54" i="18"/>
  <c r="N55" i="18"/>
  <c r="N56" i="18"/>
  <c r="N57" i="18"/>
  <c r="N58" i="18"/>
  <c r="N59" i="18"/>
  <c r="N60" i="18"/>
  <c r="N61" i="18"/>
  <c r="N63" i="18"/>
  <c r="N68" i="18"/>
  <c r="N69" i="18"/>
  <c r="N70" i="18"/>
  <c r="N71" i="18"/>
  <c r="N72" i="18"/>
  <c r="N73" i="18"/>
  <c r="N79" i="18"/>
  <c r="N80" i="18"/>
  <c r="N115" i="18"/>
  <c r="N116" i="18"/>
  <c r="N62" i="18"/>
  <c r="N8" i="18"/>
  <c r="N64" i="18"/>
  <c r="N65" i="18"/>
  <c r="N66" i="18"/>
  <c r="N67" i="18"/>
  <c r="N28" i="18"/>
  <c r="N29" i="18"/>
  <c r="N30" i="18"/>
  <c r="N31" i="18"/>
  <c r="N32" i="18"/>
  <c r="N35" i="18"/>
  <c r="N74" i="18"/>
  <c r="N75" i="18"/>
  <c r="N76" i="18"/>
  <c r="N77" i="18"/>
  <c r="N78" i="18"/>
  <c r="N3" i="18"/>
  <c r="N4" i="18"/>
  <c r="N81" i="18"/>
  <c r="N82" i="18"/>
  <c r="N83" i="18"/>
  <c r="N84" i="18"/>
  <c r="N85" i="18"/>
  <c r="N86" i="18"/>
  <c r="N87" i="18"/>
  <c r="N88" i="18"/>
  <c r="N89" i="18"/>
  <c r="N90" i="18"/>
  <c r="N91" i="18"/>
  <c r="N92" i="18"/>
  <c r="N93" i="18"/>
  <c r="N94" i="18"/>
  <c r="N95" i="18"/>
  <c r="N96" i="18"/>
  <c r="N97" i="18"/>
  <c r="N98" i="18"/>
  <c r="N99" i="18"/>
  <c r="N100" i="18"/>
  <c r="N101" i="18"/>
  <c r="N102" i="18"/>
  <c r="N103" i="18"/>
  <c r="N104" i="18"/>
  <c r="N105" i="18"/>
  <c r="N106" i="18"/>
  <c r="N107" i="18"/>
  <c r="N108" i="18"/>
  <c r="N109" i="18"/>
  <c r="N110" i="18"/>
  <c r="N111" i="18"/>
  <c r="N112" i="18"/>
  <c r="N113" i="18"/>
  <c r="N114" i="18"/>
  <c r="H6" i="18"/>
  <c r="H7" i="18"/>
  <c r="H10" i="18"/>
  <c r="H11" i="18"/>
  <c r="H12" i="18"/>
  <c r="H13" i="18"/>
  <c r="H15" i="18"/>
  <c r="H16" i="18"/>
  <c r="H17" i="18"/>
  <c r="H18" i="18"/>
  <c r="H19" i="18"/>
  <c r="H20" i="18"/>
  <c r="H21" i="18"/>
  <c r="H22" i="18"/>
  <c r="H23" i="18"/>
  <c r="H24" i="18"/>
  <c r="H25" i="18"/>
  <c r="H26" i="18"/>
  <c r="H27" i="18"/>
  <c r="H33" i="18"/>
  <c r="H34" i="18"/>
  <c r="H36" i="18"/>
  <c r="H37" i="18"/>
  <c r="H41" i="18"/>
  <c r="H42" i="18"/>
  <c r="H43" i="18"/>
  <c r="H44" i="18"/>
  <c r="H45" i="18"/>
  <c r="H46" i="18"/>
  <c r="H47" i="18"/>
  <c r="H48" i="18"/>
  <c r="H49" i="18"/>
  <c r="H50" i="18"/>
  <c r="H51" i="18"/>
  <c r="H40" i="18"/>
  <c r="H52" i="18"/>
  <c r="H53" i="18"/>
  <c r="H54" i="18"/>
  <c r="H55" i="18"/>
  <c r="H56" i="18"/>
  <c r="H57" i="18"/>
  <c r="H58" i="18"/>
  <c r="H59" i="18"/>
  <c r="H60" i="18"/>
  <c r="H61" i="18"/>
  <c r="H63" i="18"/>
  <c r="H68" i="18"/>
  <c r="H69" i="18"/>
  <c r="H70" i="18"/>
  <c r="H71" i="18"/>
  <c r="H72" i="18"/>
  <c r="H73" i="18"/>
  <c r="H79" i="18"/>
  <c r="H80" i="18"/>
  <c r="H115" i="18"/>
  <c r="H116" i="18"/>
  <c r="H62" i="18"/>
  <c r="H8" i="18"/>
  <c r="H65" i="18"/>
  <c r="H66" i="18"/>
  <c r="H67" i="18"/>
  <c r="H28" i="18"/>
  <c r="H29" i="18"/>
  <c r="H30" i="18"/>
  <c r="H31" i="18"/>
  <c r="H32" i="18"/>
  <c r="H35" i="18"/>
  <c r="H74" i="18"/>
  <c r="H75" i="18"/>
  <c r="H76" i="18"/>
  <c r="H77" i="18"/>
  <c r="H78" i="18"/>
  <c r="H3"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38" i="18"/>
  <c r="R74" i="18"/>
  <c r="N38" i="18"/>
  <c r="R82" i="18"/>
  <c r="R27" i="18"/>
  <c r="R13" i="18"/>
  <c r="R17" i="18"/>
  <c r="R14" i="18"/>
  <c r="R15" i="18"/>
  <c r="R25" i="18"/>
  <c r="R26" i="18"/>
  <c r="R33" i="18"/>
  <c r="R36" i="18"/>
  <c r="R37" i="18"/>
  <c r="R61" i="18"/>
  <c r="R45" i="18"/>
  <c r="R51" i="18"/>
  <c r="R40" i="18"/>
  <c r="R52" i="18"/>
  <c r="R53" i="18"/>
  <c r="R56" i="18"/>
  <c r="R54" i="18"/>
  <c r="R55" i="18"/>
  <c r="R57" i="18"/>
  <c r="R80" i="18"/>
  <c r="R116" i="18"/>
  <c r="R79" i="18"/>
  <c r="R72" i="18"/>
  <c r="R75" i="18"/>
  <c r="R66" i="18"/>
  <c r="R77" i="18"/>
  <c r="R76" i="18"/>
  <c r="R67" i="18"/>
  <c r="R78" i="18"/>
  <c r="R28" i="18"/>
  <c r="R84" i="18"/>
  <c r="R86" i="18"/>
  <c r="R102" i="18"/>
  <c r="R110" i="18"/>
  <c r="R87" i="18"/>
  <c r="R99" i="18"/>
  <c r="R88" i="18"/>
  <c r="R89" i="18"/>
  <c r="R90" i="18"/>
  <c r="R91" i="18"/>
  <c r="R92" i="18"/>
  <c r="R93" i="18"/>
  <c r="R108" i="18"/>
  <c r="R112" i="18"/>
  <c r="R114" i="18"/>
  <c r="R38" i="18"/>
  <c r="R10" i="18"/>
  <c r="R18" i="18"/>
  <c r="R19" i="18"/>
  <c r="R6" i="18"/>
  <c r="R11" i="18"/>
  <c r="R20" i="18"/>
  <c r="R7" i="18"/>
  <c r="R12" i="18"/>
  <c r="R21" i="18"/>
  <c r="R22" i="18"/>
  <c r="R23" i="18"/>
  <c r="R24" i="18"/>
  <c r="R41" i="18"/>
  <c r="R58" i="18"/>
  <c r="R68" i="18"/>
  <c r="R69" i="18"/>
  <c r="R42" i="18"/>
  <c r="R59" i="18"/>
  <c r="R43" i="18"/>
  <c r="R60" i="18"/>
  <c r="R44" i="18"/>
  <c r="R63" i="18"/>
  <c r="R46" i="18"/>
  <c r="R47" i="18"/>
  <c r="R34" i="18"/>
  <c r="R48" i="18"/>
  <c r="R49" i="18"/>
  <c r="R50" i="18"/>
  <c r="R70" i="18"/>
  <c r="R73" i="18"/>
  <c r="R71" i="18"/>
  <c r="R115" i="18"/>
  <c r="R62" i="18"/>
  <c r="R8" i="18"/>
  <c r="R3" i="18"/>
  <c r="R64" i="18"/>
  <c r="R29" i="18"/>
  <c r="R4" i="18"/>
  <c r="R65" i="18"/>
  <c r="R30" i="18"/>
  <c r="R81" i="18"/>
  <c r="R31" i="18"/>
  <c r="R32" i="18"/>
  <c r="R35" i="18"/>
  <c r="R101" i="18"/>
  <c r="R107" i="18"/>
  <c r="R103" i="18"/>
  <c r="R104" i="18"/>
  <c r="R105" i="18"/>
  <c r="R106" i="18"/>
  <c r="R94" i="18"/>
  <c r="R95" i="18"/>
  <c r="R96" i="18"/>
  <c r="R85" i="18"/>
  <c r="R97" i="18"/>
  <c r="R98" i="18"/>
  <c r="R83" i="18"/>
  <c r="R111" i="18"/>
  <c r="R109" i="18"/>
  <c r="R113" i="18"/>
  <c r="R16" i="18"/>
  <c r="C5" i="2" a="1"/>
  <c r="C5" i="2" s="1"/>
  <c r="H4" i="23"/>
  <c r="H5" i="23"/>
  <c r="H6" i="23"/>
  <c r="H7" i="23"/>
  <c r="H8" i="23"/>
  <c r="H9" i="23"/>
  <c r="H10" i="23"/>
  <c r="H11" i="23"/>
  <c r="H12" i="23"/>
  <c r="H13" i="23"/>
  <c r="H14" i="23"/>
  <c r="H15" i="23"/>
  <c r="H16" i="23"/>
  <c r="H17"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F9FCF1-333E-445D-9B4C-455337122431}" odcFile="C:\Users\roelienv.PPE\Downloads\query (4).iqy" keepAlive="1" name="query (4)" type="5" refreshedVersion="0" background="1">
    <dbPr connection="Provider=Microsoft.Office.List.OLEDB.2.0;Data Source=&quot;&quot;;ApplicationName=Excel;Version=12.0.0.0" command="&lt;LIST&gt;&lt;VIEWGUID&gt;976C392C-7B07-41C0-BDFF-BE0746797BEB&lt;/VIEWGUID&gt;&lt;LISTNAME&gt;3d20176d-82b2-48ac-b2c2-fce4fadb78b4&lt;/LISTNAME&gt;&lt;LISTWEB&gt;https://ppetechcoza.sharepoint.com/sites/ENG2/_vti_bin&lt;/LISTWEB&gt;&lt;LISTSUBWEB&gt;&lt;/LISTSUBWEB&gt;&lt;ROOTFOLDER&gt;&lt;/ROOTFOLDER&gt;&lt;/LIST&gt;" commandType="5"/>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<sst xmlns="http://schemas.openxmlformats.org/spreadsheetml/2006/main" count="7000" uniqueCount="1612">
  <si>
    <t>Area/ WBS No.</t>
  </si>
  <si>
    <t>Discipline</t>
  </si>
  <si>
    <t>RDMC Document Number</t>
  </si>
  <si>
    <t>Sum of % Complete</t>
  </si>
  <si>
    <t>B</t>
  </si>
  <si>
    <t>6105AK124-6200-BBOS-0001</t>
  </si>
  <si>
    <t>B Total</t>
  </si>
  <si>
    <t>E</t>
  </si>
  <si>
    <t>6105AK124-6200-EBOM-0001</t>
  </si>
  <si>
    <t>6105AK124-6200-EBOM-0002</t>
  </si>
  <si>
    <t>6105AK124-6200-EBOM-0003</t>
  </si>
  <si>
    <t>6105AK124-6200-EDST-0001</t>
  </si>
  <si>
    <t>6105AK124-6200-EDST-0016</t>
  </si>
  <si>
    <t>6105AK124-6200-ESOW-0001</t>
  </si>
  <si>
    <t>E Total</t>
  </si>
  <si>
    <t>6200 Total</t>
  </si>
  <si>
    <t>6105AK124-6240-EGAD-0001</t>
  </si>
  <si>
    <t>6105AK124-6240-EGAD-0002</t>
  </si>
  <si>
    <t>6240 Total</t>
  </si>
  <si>
    <t>6105AK124-6243-EDST-0002</t>
  </si>
  <si>
    <t>6105AK124-6243-EDST-0003</t>
  </si>
  <si>
    <t>6105AK124-6243-EDST-0004</t>
  </si>
  <si>
    <t>6105AK124-6243-EDST-0005</t>
  </si>
  <si>
    <t>6105AK124-6243-ESLD-0001</t>
  </si>
  <si>
    <t>6105AK124-6243-ESOW-0001</t>
  </si>
  <si>
    <t>M</t>
  </si>
  <si>
    <t>6105AK124-6243-MGAD-0001</t>
  </si>
  <si>
    <t>6105AK124-6243-MGAD-0002</t>
  </si>
  <si>
    <t>6105AK124-6243-MGAD-0003</t>
  </si>
  <si>
    <t>6105AK124-6243-MGAD-0004</t>
  </si>
  <si>
    <t>6105AK124-6243-MGAD-0005</t>
  </si>
  <si>
    <t>6105AK124-6243-MGAD-0006</t>
  </si>
  <si>
    <t>6105AK124-6243-MGAD-0007</t>
  </si>
  <si>
    <t>6105AK124-6243-MGAD-0008</t>
  </si>
  <si>
    <t>6105AK124-6243-MGAD-0009</t>
  </si>
  <si>
    <t>6105AK124-6243-MGAD-0010</t>
  </si>
  <si>
    <t>6105AK124-6243-MGAD-0011</t>
  </si>
  <si>
    <t>6105AK124-6243-MGAD-0012</t>
  </si>
  <si>
    <t>6105AK124-6243-MGAD-0013</t>
  </si>
  <si>
    <t>6105AK124-6243-MGAD-0014</t>
  </si>
  <si>
    <t>6105AK124-6243-MGAD-0015</t>
  </si>
  <si>
    <t>M Total</t>
  </si>
  <si>
    <t>6243 Total</t>
  </si>
  <si>
    <t>6105AK124-6250-EDST-0001</t>
  </si>
  <si>
    <t>6105AK124-6250-EREQ-0001</t>
  </si>
  <si>
    <t>6105AK124-6250-ESLD-0001</t>
  </si>
  <si>
    <t>6105AK124-6250-ESOW-0001</t>
  </si>
  <si>
    <t>6250 Total</t>
  </si>
  <si>
    <t>6105AK124-6260-EDST-0005</t>
  </si>
  <si>
    <t>6105AK124-6260-EDST-0008</t>
  </si>
  <si>
    <t>6105AK124-6260-EDST-0016</t>
  </si>
  <si>
    <t>6105AK124-6260-EDST-0017</t>
  </si>
  <si>
    <t>6105AK124-6260-EDTL-0001</t>
  </si>
  <si>
    <t>6105AK124-6260-EGAD-0002</t>
  </si>
  <si>
    <t>6105AK124-6260-EGAD-0005</t>
  </si>
  <si>
    <t>6105AK124-6260-EGAD-0006</t>
  </si>
  <si>
    <t>6105AK124-6260-EGAD-0007</t>
  </si>
  <si>
    <t>6105AK124-6260-EGAD-0008</t>
  </si>
  <si>
    <t>6105AK124-6260-EGAD-0009</t>
  </si>
  <si>
    <t>6105AK124-6260-EGAD-0010</t>
  </si>
  <si>
    <t>6105AK124-6260-EGAD-0011</t>
  </si>
  <si>
    <t>6105AK124-6260-EGAD-0012</t>
  </si>
  <si>
    <t>6105AK124-6260-EGAD-0013</t>
  </si>
  <si>
    <t>6105AK124-6260-EGAD-0014</t>
  </si>
  <si>
    <t>6105AK124-6260-ELAY-0001</t>
  </si>
  <si>
    <t>6105AK124-6260-ESEC-0001</t>
  </si>
  <si>
    <t>6105AK124-6260-ESLD-0001</t>
  </si>
  <si>
    <t>6105AK124-6260-ESLD-0002</t>
  </si>
  <si>
    <t>6105AK124-6260-ESLD-0003</t>
  </si>
  <si>
    <t>6105AK124-6260-ESLD-0004</t>
  </si>
  <si>
    <t>6105AK124-6260-ESOW-0003</t>
  </si>
  <si>
    <t>6105AK124-6260-MGAD-0002</t>
  </si>
  <si>
    <t>6105AK124-6260-MGAD-0003</t>
  </si>
  <si>
    <t>6105AK124-6260-MGAD-0004</t>
  </si>
  <si>
    <t>6105AK124-6260-MGAD-0005</t>
  </si>
  <si>
    <t>6105AK124-6260-MGAD-0006</t>
  </si>
  <si>
    <t>6105AK124-6260-MGAD-0007</t>
  </si>
  <si>
    <t>6105AK124-6260-MGAD-0008</t>
  </si>
  <si>
    <t>6105AK124-6260-MGAD-0009</t>
  </si>
  <si>
    <t>6260 Total</t>
  </si>
  <si>
    <t>6105AK124-6262-EDST-0001</t>
  </si>
  <si>
    <t>6105AK124-6262-EDST-0002</t>
  </si>
  <si>
    <t>6105AK124-6262-EDST-0003</t>
  </si>
  <si>
    <t>6105AK124-6262-EDST-0004</t>
  </si>
  <si>
    <t>6105AK124-6262-ESOW-0001</t>
  </si>
  <si>
    <t>6105AK124-6262-MGAD-0001</t>
  </si>
  <si>
    <t>6105AK124-6262-MGAD-0002</t>
  </si>
  <si>
    <t>6105AK124-6262-MGAD-0003</t>
  </si>
  <si>
    <t>6105AK124-6262-MGAD-0004</t>
  </si>
  <si>
    <t>6105AK124-6262-MGAD-0005</t>
  </si>
  <si>
    <t>6105AK124-6262-MGAD-0006</t>
  </si>
  <si>
    <t>6105AK124-6262-MGAD-0007</t>
  </si>
  <si>
    <t>6105AK124-6262-MGAD-0008</t>
  </si>
  <si>
    <t>6105AK124-6262-MGAD-0009</t>
  </si>
  <si>
    <t>6105AK124-6262-MGAD-0010</t>
  </si>
  <si>
    <t>6262 Total</t>
  </si>
  <si>
    <t>6105AK124-6263-EBOM-0001</t>
  </si>
  <si>
    <t>6105AK124-6263-EDST-0002</t>
  </si>
  <si>
    <t>6105AK124-6263-EDST-0003</t>
  </si>
  <si>
    <t>6105AK124-6263-EDST-0004</t>
  </si>
  <si>
    <t>6105AK124-6263-EDST-0005</t>
  </si>
  <si>
    <t>6105AK124-6263-ESOW-0001</t>
  </si>
  <si>
    <t>6105AK124-6263-ESOW-0002</t>
  </si>
  <si>
    <t>6263 Total</t>
  </si>
  <si>
    <t>6105AK124-6264-EDST-0001</t>
  </si>
  <si>
    <t>6105AK124-6264-ESOW-0001</t>
  </si>
  <si>
    <t>6264 Total</t>
  </si>
  <si>
    <t>6105AK124-6280-ESLD-0001</t>
  </si>
  <si>
    <t>6280 Total</t>
  </si>
  <si>
    <t>6105AK124-6286-EDST-0001</t>
  </si>
  <si>
    <t>6105AK124-6286-EDST-0002</t>
  </si>
  <si>
    <t>6105AK124-6286-EDST-0003</t>
  </si>
  <si>
    <t>6105AK124-6286-EDST-0004</t>
  </si>
  <si>
    <t>6105AK124-6286-EDST-0005</t>
  </si>
  <si>
    <t>6105AK124-6286-EDTL-0001</t>
  </si>
  <si>
    <t>6105AK124-6286-EDTL-0002</t>
  </si>
  <si>
    <t>6105AK124-6286-EGAD-0001</t>
  </si>
  <si>
    <t>6105AK124-6286-ELAY-0001</t>
  </si>
  <si>
    <t>6105AK124-6286-ESLD-0001</t>
  </si>
  <si>
    <t>6105AK124-6286-MGAD-0001</t>
  </si>
  <si>
    <t>6105AK124-6286-MGAD-0002</t>
  </si>
  <si>
    <t>6105AK124-6286-MGAD-0003</t>
  </si>
  <si>
    <t>6105AK124-6286-MGAD-0004</t>
  </si>
  <si>
    <t>6105AK124-6286-MGAD-0005</t>
  </si>
  <si>
    <t>6105AK124-6286-MGAD-0006</t>
  </si>
  <si>
    <t>6105AK124-6286-MGAD-0007</t>
  </si>
  <si>
    <t>6105AK124-6286-MGAD-0008</t>
  </si>
  <si>
    <t>6105AK124-6286-MGAD-0009</t>
  </si>
  <si>
    <t>6105AK124-6286-MGAD-0010</t>
  </si>
  <si>
    <t>6105AK124-6286-MGAD-0011</t>
  </si>
  <si>
    <t>6105AK124-6286-MGAD-0012</t>
  </si>
  <si>
    <t>6105AK124-6286-MGAD-0013</t>
  </si>
  <si>
    <t>6105AK124-6286-MGAD-0014</t>
  </si>
  <si>
    <t>6105AK124-6286-MGAD-0015</t>
  </si>
  <si>
    <t>6286 Total</t>
  </si>
  <si>
    <t>6105AK124-6292-EDST-0001</t>
  </si>
  <si>
    <t>6105AK124-6292-EDST-0002</t>
  </si>
  <si>
    <t>6105AK124-6292-EDST-0003</t>
  </si>
  <si>
    <t>6105AK124-6292-EDST-0004</t>
  </si>
  <si>
    <t>6105AK124-6292-ESOW-0001</t>
  </si>
  <si>
    <t>6292 Total</t>
  </si>
  <si>
    <t>0000</t>
  </si>
  <si>
    <t>6105AK124-0000-BPLN-0001</t>
  </si>
  <si>
    <t>G</t>
  </si>
  <si>
    <t>6105AK124-0000-GDDR-0001</t>
  </si>
  <si>
    <t>G Total</t>
  </si>
  <si>
    <t>0000 Total</t>
  </si>
  <si>
    <t>0100</t>
  </si>
  <si>
    <t>6105AK124-0100-EDST-0002</t>
  </si>
  <si>
    <t>6105AK124-0100-EDST-0003</t>
  </si>
  <si>
    <t>H</t>
  </si>
  <si>
    <t>6105AK124-0100-HDST-0001</t>
  </si>
  <si>
    <t>6105AK124-0100-HDST-0002</t>
  </si>
  <si>
    <t>6105AK124-0100-HFRM-0001</t>
  </si>
  <si>
    <t>6105AK124-0100-HFRM-0002</t>
  </si>
  <si>
    <t>6105AK124-0100-HFRM-0003</t>
  </si>
  <si>
    <t>6105AK124-0100-HFRM-0004</t>
  </si>
  <si>
    <t>6105AK124-0100-HFRM-0005</t>
  </si>
  <si>
    <t>6105AK124-0100-HFRM-0006</t>
  </si>
  <si>
    <t>6105AK124-0100-HFRM-0007</t>
  </si>
  <si>
    <t>6105AK124-0100-HFRM-0008</t>
  </si>
  <si>
    <t>6105AK124-0100-HFRM-0009</t>
  </si>
  <si>
    <t>6105AK124-0100-HFRM-0010</t>
  </si>
  <si>
    <t>6105AK124-0100-HFRM-0011</t>
  </si>
  <si>
    <t>6105AK124-0100-HFRM-0012</t>
  </si>
  <si>
    <t>6105AK124-0100-HFRM-0013</t>
  </si>
  <si>
    <t>6105AK124-0100-HFRM-0014</t>
  </si>
  <si>
    <t>6105AK124-0100-HFRM-0015</t>
  </si>
  <si>
    <t>6105AK124-0100-HFRM-0016</t>
  </si>
  <si>
    <t>6105AK124-0100-HFRM-0017</t>
  </si>
  <si>
    <t>6105AK124-0100-HFRM-0018</t>
  </si>
  <si>
    <t>6105AK124-0100-HFRM-0019</t>
  </si>
  <si>
    <t>6105AK124-0100-HFRM-0020</t>
  </si>
  <si>
    <t>6105AK124-0100-HFRM-0021</t>
  </si>
  <si>
    <t>6105AK124-0100-HFRM-0022</t>
  </si>
  <si>
    <t>6105AK124-0100-HFRM-0023</t>
  </si>
  <si>
    <t>6105AK124-0100-HFRM-0024</t>
  </si>
  <si>
    <t>6105AK124-0100-HFRM-0025</t>
  </si>
  <si>
    <t>6105AK124-0100-HFRM-0026</t>
  </si>
  <si>
    <t>6105AK124-0100-HFRM-0027</t>
  </si>
  <si>
    <t>6105AK124-0100-HFRM-0028</t>
  </si>
  <si>
    <t>6105AK124-0100-HFRM-0029</t>
  </si>
  <si>
    <t>6105AK124-0100-HFRM-0030</t>
  </si>
  <si>
    <t>6105AK124-0100-HGDL-0001</t>
  </si>
  <si>
    <t>6105AK124-0100-HGDL-0002</t>
  </si>
  <si>
    <t>6105AK124-0100-HGDL-0003</t>
  </si>
  <si>
    <t>6105AK124-0100-HGDL-0004</t>
  </si>
  <si>
    <t>6105AK124-0100-HGDL-0005</t>
  </si>
  <si>
    <t>6105AK124-0100-HLST-0001</t>
  </si>
  <si>
    <t>6105AK124-0100-HLST-0002</t>
  </si>
  <si>
    <t>6105AK124-0100-HLST-0003</t>
  </si>
  <si>
    <t>6105AK124-0100-HLST-0004</t>
  </si>
  <si>
    <t>6105AK124-0100-HLST-0005</t>
  </si>
  <si>
    <t>6105AK124-0100-HLST-0006</t>
  </si>
  <si>
    <t>6105AK124-0100-HLST-0007</t>
  </si>
  <si>
    <t>6105AK124-0100-HLST-0008</t>
  </si>
  <si>
    <t>6105AK124-0100-HLST-0009</t>
  </si>
  <si>
    <t>6105AK124-0100-HLST-0010</t>
  </si>
  <si>
    <t>6105AK124-0100-HLST-0011</t>
  </si>
  <si>
    <t>6105AK124-0100-HLST-0012</t>
  </si>
  <si>
    <t>6105AK124-0100-HLST-0013</t>
  </si>
  <si>
    <t>6105AK124-0100-HLST-0014</t>
  </si>
  <si>
    <t>6105AK124-0100-HLST-0015</t>
  </si>
  <si>
    <t>6105AK124-0100-HLST-0016</t>
  </si>
  <si>
    <t>6105AK124-0100-HLST-0017</t>
  </si>
  <si>
    <t>6105AK124-0100-HLST-0018</t>
  </si>
  <si>
    <t>6105AK124-0100-HLST-0019</t>
  </si>
  <si>
    <t>6105AK124-0100-HLST-0020</t>
  </si>
  <si>
    <t>6105AK124-0100-HLST-0021</t>
  </si>
  <si>
    <t>6105AK124-0100-HLST-0022</t>
  </si>
  <si>
    <t>6105AK124-0100-HLST-0023</t>
  </si>
  <si>
    <t>6105AK124-0100-HLST-0024</t>
  </si>
  <si>
    <t>6105AK124-0100-HLST-0025</t>
  </si>
  <si>
    <t>6105AK124-0100-HLST-0026</t>
  </si>
  <si>
    <t>6105AK124-0100-HLST-0027</t>
  </si>
  <si>
    <t>6105AK124-0100-HMAN-0001</t>
  </si>
  <si>
    <t>6105AK124-0100-HPLN-0001</t>
  </si>
  <si>
    <t>6105AK124-0100-HPLN-0002</t>
  </si>
  <si>
    <t>6105AK124-0100-HPLN-0003</t>
  </si>
  <si>
    <t>6105AK124-0100-HPLN-0004</t>
  </si>
  <si>
    <t>6105AK124-0100-HPLN-0005</t>
  </si>
  <si>
    <t>6105AK124-0100-HPLN-0006</t>
  </si>
  <si>
    <t>6105AK124-0100-HPLN-0007</t>
  </si>
  <si>
    <t>6105AK124-0100-HPLN-0008</t>
  </si>
  <si>
    <t>6105AK124-0100-HPLN-0009</t>
  </si>
  <si>
    <t>6105AK124-0100-HPLN-0010</t>
  </si>
  <si>
    <t>6105AK124-0100-HPLN-0011</t>
  </si>
  <si>
    <t>6105AK124-0100-HPLN-0012</t>
  </si>
  <si>
    <t>6105AK124-0100-HPRC-0001</t>
  </si>
  <si>
    <t>6105AK124-0100-HPRC-0002</t>
  </si>
  <si>
    <t>6105AK124-0100-HPRC-0003</t>
  </si>
  <si>
    <t>6105AK124-0100-HPRC-0004</t>
  </si>
  <si>
    <t>6105AK124-0100-HPRC-0005</t>
  </si>
  <si>
    <t>6105AK124-0100-HPRC-0006</t>
  </si>
  <si>
    <t>6105AK124-0100-HPRC-0007</t>
  </si>
  <si>
    <t>6105AK124-0100-HPRC-0008</t>
  </si>
  <si>
    <t>6105AK124-0100-HPRC-0009</t>
  </si>
  <si>
    <t>6105AK124-0100-HPRC-0010</t>
  </si>
  <si>
    <t>6105AK124-0100-HPRC-0011</t>
  </si>
  <si>
    <t>6105AK124-0100-HPRC-0012</t>
  </si>
  <si>
    <t>6105AK124-0100-HPRC-0013</t>
  </si>
  <si>
    <t>6105AK124-0100-HPRC-0014</t>
  </si>
  <si>
    <t>6105AK124-0100-HPRC-0015</t>
  </si>
  <si>
    <t>6105AK124-0100-HPRC-0016</t>
  </si>
  <si>
    <t>6105AK124-0100-HPRC-0017</t>
  </si>
  <si>
    <t>6105AK124-0100-HPRC-0018</t>
  </si>
  <si>
    <t>6105AK124-0100-HPRC-0019</t>
  </si>
  <si>
    <t>6105AK124-0100-HPRC-0020</t>
  </si>
  <si>
    <t>6105AK124-0100-HPRC-0021</t>
  </si>
  <si>
    <t>6105AK124-0100-HPRC-0022</t>
  </si>
  <si>
    <t>6105AK124-0100-HPRC-0023</t>
  </si>
  <si>
    <t>6105AK124-0100-HPRC-0024</t>
  </si>
  <si>
    <t>6105AK124-0100-HPRC-0025</t>
  </si>
  <si>
    <t>6105AK124-0100-HPRC-0026</t>
  </si>
  <si>
    <t>6105AK124-0100-HPRC-0027</t>
  </si>
  <si>
    <t>6105AK124-0100-HPRC-0028</t>
  </si>
  <si>
    <t>6105AK124-0100-HPRC-0029</t>
  </si>
  <si>
    <t>6105AK124-0100-HPRC-0030</t>
  </si>
  <si>
    <t>6105AK124-0100-HPRC-0031</t>
  </si>
  <si>
    <t>6105AK124-0100-HPRC-0032</t>
  </si>
  <si>
    <t>6105AK124-0100-HPRC-0033</t>
  </si>
  <si>
    <t>6105AK124-0100-HPRC-0034</t>
  </si>
  <si>
    <t>6105AK124-0100-HPRC-0035</t>
  </si>
  <si>
    <t>6105AK124-0100-HPRC-0036</t>
  </si>
  <si>
    <t>6105AK124-0100-HPRC-0037</t>
  </si>
  <si>
    <t>6105AK124-0100-HPRC-0038</t>
  </si>
  <si>
    <t>6105AK124-0100-HPRC-0039</t>
  </si>
  <si>
    <t>6105AK124-0100-HPRC-0040</t>
  </si>
  <si>
    <t>6105AK124-0100-HPRC-0041</t>
  </si>
  <si>
    <t>6105AK124-0100-HPRC-0042</t>
  </si>
  <si>
    <t>6105AK124-0100-HPRC-0043</t>
  </si>
  <si>
    <t>6105AK124-0100-HPRC-0044</t>
  </si>
  <si>
    <t>6105AK124-0100-HPRC-0045</t>
  </si>
  <si>
    <t>6105AK124-0100-HPRC-0046</t>
  </si>
  <si>
    <t>6105AK124-0100-HPRC-0047</t>
  </si>
  <si>
    <t>6105AK124-0100-HPRC-0048</t>
  </si>
  <si>
    <t>6105AK124-0100-HPRC-0049</t>
  </si>
  <si>
    <t>6105AK124-0100-HPRC-0050</t>
  </si>
  <si>
    <t>6105AK124-0100-HPRC-0051</t>
  </si>
  <si>
    <t>6105AK124-0100-HPRC-0052</t>
  </si>
  <si>
    <t>6105AK124-0100-HPRC-0053</t>
  </si>
  <si>
    <t>6105AK124-0100-HPRC-0054</t>
  </si>
  <si>
    <t>6105AK124-0100-HPRC-0055</t>
  </si>
  <si>
    <t>6105AK124-0100-HPRC-0056</t>
  </si>
  <si>
    <t>6105AK124-0100-HPRC-0057</t>
  </si>
  <si>
    <t>6105AK124-0100-HPRC-0058</t>
  </si>
  <si>
    <t>6105AK124-0100-HPRC-0059</t>
  </si>
  <si>
    <t>6105AK124-0100-HPRC-0060</t>
  </si>
  <si>
    <t>6105AK124-0100-HPRC-0061</t>
  </si>
  <si>
    <t>6105AK124-0100-HPRC-0062</t>
  </si>
  <si>
    <t>6105AK124-0100-HPRC-0063</t>
  </si>
  <si>
    <t>6105AK124-0100-HPRC-0064</t>
  </si>
  <si>
    <t>6105AK124-0100-HPRC-0065</t>
  </si>
  <si>
    <t>6105AK124-0100-HPRC-0066</t>
  </si>
  <si>
    <t>6105AK124-0100-HPRC-0067</t>
  </si>
  <si>
    <t>6105AK124-0100-HPRC-0068</t>
  </si>
  <si>
    <t>6105AK124-0100-HPRC-0069</t>
  </si>
  <si>
    <t>6105AK124-0100-HPRC-0070</t>
  </si>
  <si>
    <t>6105AK124-0100-HPRC-0071</t>
  </si>
  <si>
    <t>6105AK124-0100-HPRC-0072</t>
  </si>
  <si>
    <t>6105AK124-0100-HPRC-0073</t>
  </si>
  <si>
    <t>6105AK124-0100-HPRC-0074</t>
  </si>
  <si>
    <t>6105AK124-0100-HPRC-0075</t>
  </si>
  <si>
    <t>6105AK124-0100-HPRC-0076</t>
  </si>
  <si>
    <t>6105AK124-0100-HPRC-0077</t>
  </si>
  <si>
    <t>6105AK124-0100-HPRC-0078</t>
  </si>
  <si>
    <t>6105AK124-0100-HPRC-0079</t>
  </si>
  <si>
    <t>6105AK124-0100-HPRC-0080</t>
  </si>
  <si>
    <t>6105AK124-0100-HPRC-0081</t>
  </si>
  <si>
    <t>6105AK124-0100-HPRC-0082</t>
  </si>
  <si>
    <t>6105AK124-0100-HRPT-0001</t>
  </si>
  <si>
    <t>6105AK124-0100-HSCH-0001</t>
  </si>
  <si>
    <t>6105AK124-0100-HSTD-0001</t>
  </si>
  <si>
    <t>6105AK124-0100-HSUM-0001</t>
  </si>
  <si>
    <t>H Total</t>
  </si>
  <si>
    <t>0100 Total</t>
  </si>
  <si>
    <t>Grand Total</t>
  </si>
  <si>
    <t>REKO DIQ MINING PROJECT - K137 - PSI Supplier Document &amp; Drawing Register (SDDR)</t>
  </si>
  <si>
    <t>Project Number</t>
  </si>
  <si>
    <t>Package Number</t>
  </si>
  <si>
    <t>Document Type</t>
  </si>
  <si>
    <t>Sequential Number</t>
  </si>
  <si>
    <t>Revision</t>
  </si>
  <si>
    <t>Document Number</t>
  </si>
  <si>
    <t>PPE Doc Status</t>
  </si>
  <si>
    <t>Sht. # of #</t>
  </si>
  <si>
    <t>Area / Facility</t>
  </si>
  <si>
    <t>Major Description</t>
  </si>
  <si>
    <t>Broad Type</t>
  </si>
  <si>
    <t>Full Title</t>
  </si>
  <si>
    <t>Due Date</t>
  </si>
  <si>
    <t>IFR Transmittal Date</t>
  </si>
  <si>
    <t>IFC/IFU Transmittal Date</t>
  </si>
  <si>
    <t>% Complete</t>
  </si>
  <si>
    <t>As Built Required (Y/N)</t>
  </si>
  <si>
    <t>Certified Final Required (Y/N)</t>
  </si>
  <si>
    <t>Tag Number (if any)</t>
  </si>
  <si>
    <t>Comments</t>
  </si>
  <si>
    <t>6105A</t>
  </si>
  <si>
    <t>K137</t>
  </si>
  <si>
    <t>C</t>
  </si>
  <si>
    <t>CAL</t>
  </si>
  <si>
    <t>0001</t>
  </si>
  <si>
    <t>A</t>
  </si>
  <si>
    <t>Reviewed</t>
  </si>
  <si>
    <t>Medium Voltage (33 kV) Overhead Powerlines</t>
  </si>
  <si>
    <t>Loads and structural design for intermediate tower</t>
  </si>
  <si>
    <t>Calculation</t>
  </si>
  <si>
    <t>0002</t>
  </si>
  <si>
    <t>Foundation for intermediate tower</t>
  </si>
  <si>
    <t>0004</t>
  </si>
  <si>
    <t>Foundation for anchor tower</t>
  </si>
  <si>
    <t>DTL</t>
  </si>
  <si>
    <t>Cable structures pole</t>
  </si>
  <si>
    <t>Details</t>
  </si>
  <si>
    <t>0003</t>
  </si>
  <si>
    <t>Cable structures pole. Items</t>
  </si>
  <si>
    <t>Support installation plan</t>
  </si>
  <si>
    <t>0005</t>
  </si>
  <si>
    <t>USO-3A, USO-5A-I support</t>
  </si>
  <si>
    <t>FND</t>
  </si>
  <si>
    <t>List of Towers and Foundations</t>
  </si>
  <si>
    <t>Foundation drawings</t>
  </si>
  <si>
    <t>12/02/2026 Deleted as duplicated with Line # 54. Doc: 6105AK137-6280-CFND-0002</t>
  </si>
  <si>
    <t>Bill of tower and foundation installation details</t>
  </si>
  <si>
    <t>Technical conditions - technical requirements for tower foundations</t>
  </si>
  <si>
    <t>Anchor tower foundation installation</t>
  </si>
  <si>
    <t xml:space="preserve">Reviewed </t>
  </si>
  <si>
    <t>Intermediate tower foundation installation</t>
  </si>
  <si>
    <t>IDX</t>
  </si>
  <si>
    <t>Bill of tower and foundation installation</t>
  </si>
  <si>
    <t>Index</t>
  </si>
  <si>
    <t>l;;</t>
  </si>
  <si>
    <t>INS</t>
  </si>
  <si>
    <t>Notes to tower/foundation list</t>
  </si>
  <si>
    <t>Instructions</t>
  </si>
  <si>
    <t xml:space="preserve">Corrosion protection </t>
  </si>
  <si>
    <t>SPC</t>
  </si>
  <si>
    <t xml:space="preserve">Bill of civil works </t>
  </si>
  <si>
    <t>Specification</t>
  </si>
  <si>
    <t>SSD</t>
  </si>
  <si>
    <t>Intermediate tower specification type 1P110-6</t>
  </si>
  <si>
    <t>Structural Steel Drawings</t>
  </si>
  <si>
    <t>Intermediate tower specification type 1P110-6-3.2</t>
  </si>
  <si>
    <t>Intermediate tower specification type 1P110-6-8.5</t>
  </si>
  <si>
    <t>Intermediate tower specification. Details</t>
  </si>
  <si>
    <t xml:space="preserve">Cable termination structural </t>
  </si>
  <si>
    <t>0006</t>
  </si>
  <si>
    <t>Technical conditions - technical requirements for steel towers</t>
  </si>
  <si>
    <t>0007</t>
  </si>
  <si>
    <t>Anchor tower specification type A33-2-24</t>
  </si>
  <si>
    <t>0008</t>
  </si>
  <si>
    <t>Intermediate tower specificaition</t>
  </si>
  <si>
    <t>0009</t>
  </si>
  <si>
    <t>Anchor tower specification type A33-2-12</t>
  </si>
  <si>
    <t>0010</t>
  </si>
  <si>
    <t>Anchor tower specification type 1U110-4</t>
  </si>
  <si>
    <t>0011</t>
  </si>
  <si>
    <t>Anchor tower specification type 1U110-4+5</t>
  </si>
  <si>
    <t>0012</t>
  </si>
  <si>
    <t>Anchor tower specification type 1U110-4+10</t>
  </si>
  <si>
    <t>0013</t>
  </si>
  <si>
    <t>Anchor tower specification type 1U110-4+15</t>
  </si>
  <si>
    <t>0014</t>
  </si>
  <si>
    <t>Anchor tower specification. Details</t>
  </si>
  <si>
    <t>Approved</t>
  </si>
  <si>
    <t>33 kV OHL</t>
  </si>
  <si>
    <t>awaiting internal review of rev C</t>
  </si>
  <si>
    <t>Sags table</t>
  </si>
  <si>
    <t>Mechanical calculation of conductor and electrical clearance</t>
  </si>
  <si>
    <t>DST</t>
  </si>
  <si>
    <t>Insulator U120AD</t>
  </si>
  <si>
    <t>Datasheet</t>
  </si>
  <si>
    <t>OPGW</t>
  </si>
  <si>
    <t>Splice box</t>
  </si>
  <si>
    <t>Line fittings and clamps</t>
  </si>
  <si>
    <t>Mining Open Pit</t>
  </si>
  <si>
    <t>11 kV OHL Insulator U70BS</t>
  </si>
  <si>
    <t>OHL to cable transitions for tie-in</t>
  </si>
  <si>
    <t xml:space="preserve">Insulator set PP-1 </t>
  </si>
  <si>
    <t>Desoldering scheme of optical fibers</t>
  </si>
  <si>
    <t>TBA</t>
  </si>
  <si>
    <t>Groundwire fastener NPT-2</t>
  </si>
  <si>
    <t>Grounding connections to the towers</t>
  </si>
  <si>
    <t>Groundwire fastener PPT-2</t>
  </si>
  <si>
    <t>Bill of insultor sets</t>
  </si>
  <si>
    <t>Grounding divices</t>
  </si>
  <si>
    <t>Detailed Ground devices bill</t>
  </si>
  <si>
    <t xml:space="preserve">Approved </t>
  </si>
  <si>
    <t>Insulator set NP-1</t>
  </si>
  <si>
    <t>Insulator set PP-1</t>
  </si>
  <si>
    <t>OPGW fastener NPT-1</t>
  </si>
  <si>
    <t>0015</t>
  </si>
  <si>
    <t>OPGW fastener PPT-1</t>
  </si>
  <si>
    <t>0017</t>
  </si>
  <si>
    <t>Grounding towers</t>
  </si>
  <si>
    <t>0018</t>
  </si>
  <si>
    <t>Ground devices bill</t>
  </si>
  <si>
    <t>Cancelled as combined with 6105AK137-6280-EDTL-0017</t>
  </si>
  <si>
    <t>EQL</t>
  </si>
  <si>
    <t>Equipment List</t>
  </si>
  <si>
    <t>Specifications for metal tower structures</t>
  </si>
  <si>
    <t>LAY</t>
  </si>
  <si>
    <t>В</t>
  </si>
  <si>
    <t>Tower location profile of 33 kV OHL No. 1</t>
  </si>
  <si>
    <t>Layout</t>
  </si>
  <si>
    <t>Document Rejected Due to the word "Layout" not being on the cover page and table of contents page</t>
  </si>
  <si>
    <t>Tower location profile of 33 kV OHL No. 2</t>
  </si>
  <si>
    <t>Crossings (Layouts and Profiles)</t>
  </si>
  <si>
    <t xml:space="preserve"> 33 kV OHL routing</t>
  </si>
  <si>
    <t>DTA</t>
  </si>
  <si>
    <t>General Notes on the List of Towers and Foundations</t>
  </si>
  <si>
    <t>Data</t>
  </si>
  <si>
    <t>Bill of crossings</t>
  </si>
  <si>
    <t>Foundation Installation Drawing for 11 kV Intermediate Towers</t>
  </si>
  <si>
    <t>Corrosion protection</t>
  </si>
  <si>
    <t>SLD</t>
  </si>
  <si>
    <t xml:space="preserve">OPGW termination and installation of splicing box </t>
  </si>
  <si>
    <t>Single Line Diagram</t>
  </si>
  <si>
    <t>Bill of mouting works</t>
  </si>
  <si>
    <t>Orevall</t>
  </si>
  <si>
    <t>List of drawings</t>
  </si>
  <si>
    <t>MTO</t>
  </si>
  <si>
    <t>Detailed List of equipments</t>
  </si>
  <si>
    <t>Material Take Off</t>
  </si>
  <si>
    <t>11.02.2026 Added new drawing</t>
  </si>
  <si>
    <t>Anchor tower specification type A11 - 1 - 24</t>
  </si>
  <si>
    <t>Intermediate tower specification type A11 - 1 - 21</t>
  </si>
  <si>
    <t>List of equipments</t>
  </si>
  <si>
    <t>PLN</t>
  </si>
  <si>
    <t>Key plan</t>
  </si>
  <si>
    <t>Anchor tower specification type A11 - 1 - 12</t>
  </si>
  <si>
    <t>Anchor tower specification type A11 - 2 - 12</t>
  </si>
  <si>
    <t>Structural Steel drawings</t>
  </si>
  <si>
    <t>11 kV OHL</t>
  </si>
  <si>
    <t>11 kV OHL Sags table</t>
  </si>
  <si>
    <t>Insulator set NP-1 of 11 kV OHL</t>
  </si>
  <si>
    <t>Insulator set PP-1 of 11 kV OHL</t>
  </si>
  <si>
    <t>Conceptual Sags table</t>
  </si>
  <si>
    <t>Concept Ground devices bill</t>
  </si>
  <si>
    <t>Technical conditions - technical requirements</t>
  </si>
  <si>
    <t>Data sheet of conductor</t>
  </si>
  <si>
    <t>Insulator set NP-1 (DD)</t>
  </si>
  <si>
    <t>IOM</t>
  </si>
  <si>
    <t>Installation Operation and Maintenance Manual</t>
  </si>
  <si>
    <t>11 kV OHL routing</t>
  </si>
  <si>
    <t>Tower location profile of  11 kV OHL Showel assembly pad</t>
  </si>
  <si>
    <t>Tower location profile of 11 kV OHL Open pit mine area (ring)</t>
  </si>
  <si>
    <t xml:space="preserve">Bill of crossings </t>
  </si>
  <si>
    <t>Overall info</t>
  </si>
  <si>
    <t>Key plan (Mining)</t>
  </si>
  <si>
    <t>RPT</t>
  </si>
  <si>
    <t>Explanatory note</t>
  </si>
  <si>
    <t>Report</t>
  </si>
  <si>
    <t>Key plan (OHL)</t>
  </si>
  <si>
    <t>Loads and structural design for anchor tower</t>
  </si>
  <si>
    <t>L1</t>
  </si>
  <si>
    <t>L2</t>
  </si>
  <si>
    <t>L3</t>
  </si>
  <si>
    <t>L4</t>
  </si>
  <si>
    <t>Code</t>
  </si>
  <si>
    <t>Reko Diq Copper - Gold Project Facility Name</t>
  </si>
  <si>
    <t>General</t>
  </si>
  <si>
    <t>0000 - General</t>
  </si>
  <si>
    <t>Project Site Wide</t>
  </si>
  <si>
    <t>0100 - Project Site Wide</t>
  </si>
  <si>
    <t>High Voltage (220 kV) Transmission Lines</t>
  </si>
  <si>
    <t>Solar PV Substation to Power Station Substation</t>
  </si>
  <si>
    <t>Power Station Substation to Plant Main Substation</t>
  </si>
  <si>
    <t>NDTC (Pakistan Grid Operator) Power Supply (future)</t>
  </si>
  <si>
    <t>Booster Pump Station</t>
  </si>
  <si>
    <t>Borefields</t>
  </si>
  <si>
    <t>Potable Water Treatment Plant</t>
  </si>
  <si>
    <t>Sewage Treatment Plant</t>
  </si>
  <si>
    <t>Village</t>
  </si>
  <si>
    <t>Primary Crushing</t>
  </si>
  <si>
    <t>Tailings Storage Facility</t>
  </si>
  <si>
    <t>Rail Offloading Facility</t>
  </si>
  <si>
    <r>
      <rPr>
        <b/>
        <sz val="10"/>
        <color rgb="FFFFFFFF"/>
        <rFont val="Aptos Narrow"/>
        <family val="2"/>
      </rPr>
      <t>Facility Level ID</t>
    </r>
  </si>
  <si>
    <r>
      <rPr>
        <b/>
        <sz val="10"/>
        <color rgb="FFFFFFFF"/>
        <rFont val="Aptos Narrow"/>
        <family val="2"/>
      </rPr>
      <t>Facility Code</t>
    </r>
  </si>
  <si>
    <r>
      <rPr>
        <b/>
        <sz val="10"/>
        <color rgb="FFFFFFFF"/>
        <rFont val="Aptos Narrow"/>
        <family val="2"/>
      </rPr>
      <t>Reko Diq Project Facility Name</t>
    </r>
  </si>
  <si>
    <r>
      <rPr>
        <b/>
        <sz val="10"/>
        <color rgb="FFFFFFFF"/>
        <rFont val="Aptos Narrow"/>
        <family val="2"/>
      </rPr>
      <t>Engineering</t>
    </r>
  </si>
  <si>
    <r>
      <rPr>
        <b/>
        <sz val="10"/>
        <color rgb="FFFFFFFF"/>
        <rFont val="Aptos Narrow"/>
        <family val="2"/>
      </rPr>
      <t>Procurement</t>
    </r>
  </si>
  <si>
    <r>
      <rPr>
        <b/>
        <sz val="10"/>
        <color rgb="FFFFFFFF"/>
        <rFont val="Aptos Narrow"/>
        <family val="2"/>
      </rPr>
      <t>Contracts</t>
    </r>
  </si>
  <si>
    <r>
      <rPr>
        <b/>
        <sz val="10"/>
        <color rgb="FFFFFFFF"/>
        <rFont val="Aptos Narrow"/>
        <family val="2"/>
      </rPr>
      <t>Construction Management</t>
    </r>
  </si>
  <si>
    <r>
      <rPr>
        <b/>
        <sz val="10"/>
        <color rgb="FFBEBEBE"/>
        <rFont val="Aptos Narrow"/>
        <family val="2"/>
      </rPr>
      <t>L1</t>
    </r>
  </si>
  <si>
    <r>
      <rPr>
        <b/>
        <sz val="10"/>
        <color rgb="FFBEBEBE"/>
        <rFont val="Aptos Narrow"/>
        <family val="2"/>
      </rPr>
      <t>L2</t>
    </r>
  </si>
  <si>
    <r>
      <rPr>
        <b/>
        <sz val="10"/>
        <color rgb="FFBEBEBE"/>
        <rFont val="Aptos Narrow"/>
        <family val="2"/>
      </rPr>
      <t>L3</t>
    </r>
  </si>
  <si>
    <r>
      <rPr>
        <b/>
        <sz val="10"/>
        <color rgb="FFBEBEBE"/>
        <rFont val="Aptos Narrow"/>
        <family val="2"/>
      </rPr>
      <t>L4</t>
    </r>
  </si>
  <si>
    <t>-</t>
  </si>
  <si>
    <t>Mining - OP</t>
  </si>
  <si>
    <t>RDMC/Fluor</t>
  </si>
  <si>
    <t>Open Pit Mine</t>
  </si>
  <si>
    <r>
      <rPr>
        <b/>
        <sz val="10"/>
        <rFont val="Aptos Narrow"/>
        <family val="2"/>
      </rPr>
      <t>RDMC/Fluo
r</t>
    </r>
  </si>
  <si>
    <t>Open Pit Mine Development</t>
  </si>
  <si>
    <t>RDMC</t>
  </si>
  <si>
    <t>Pre-Stripping</t>
  </si>
  <si>
    <t>Stockpiling</t>
  </si>
  <si>
    <t>Waste Dumps</t>
  </si>
  <si>
    <t>Run-of-Mine Pad</t>
  </si>
  <si>
    <t>Clearing, Grubbing and Topsoil Stockpiling</t>
  </si>
  <si>
    <t>Common Facilities and Services</t>
  </si>
  <si>
    <t>Open Pit Mining Equipment</t>
  </si>
  <si>
    <t>Drilling Equipment</t>
  </si>
  <si>
    <t>Loading Equipment</t>
  </si>
  <si>
    <t>Hauling Equipment</t>
  </si>
  <si>
    <t>Support Equipment</t>
  </si>
  <si>
    <t>Maintenance Equipment</t>
  </si>
  <si>
    <t>Infrastructure</t>
  </si>
  <si>
    <t>RDMC/Fluor/PPE</t>
  </si>
  <si>
    <t>Haul Roads</t>
  </si>
  <si>
    <t>Pioneering</t>
  </si>
  <si>
    <t>Dewatering</t>
  </si>
  <si>
    <t>Fluor</t>
  </si>
  <si>
    <t>Trailing Cables and Shovel Reticulation</t>
  </si>
  <si>
    <t>PPE</t>
  </si>
  <si>
    <t>Planning  and Exploration</t>
  </si>
  <si>
    <t>Fluor/PPE</t>
  </si>
  <si>
    <t>Explosives Plant, Magazine and Storage</t>
  </si>
  <si>
    <t>Explosives and Detonator Magazines</t>
  </si>
  <si>
    <t>Manufacturing Plant</t>
  </si>
  <si>
    <t>Raw Materials Warehouse</t>
  </si>
  <si>
    <t>Ammonium Nitrate Warehouse</t>
  </si>
  <si>
    <t>Office and Dry Mess</t>
  </si>
  <si>
    <t>Change Room and Ablutions</t>
  </si>
  <si>
    <t>Workshop</t>
  </si>
  <si>
    <t>Washdown Facility</t>
  </si>
  <si>
    <t>Mine Infrastructure Area and Services</t>
  </si>
  <si>
    <t>Site Preparation</t>
  </si>
  <si>
    <t>Bulk Earthworks</t>
  </si>
  <si>
    <t>Drainage and Culverts</t>
  </si>
  <si>
    <t>Improvements</t>
  </si>
  <si>
    <t>Security Fencing</t>
  </si>
  <si>
    <t>Roads and Paving</t>
  </si>
  <si>
    <t>In-Plant Roads</t>
  </si>
  <si>
    <t>Carparks and Hardstand Areas</t>
  </si>
  <si>
    <t>Central Facilities</t>
  </si>
  <si>
    <t>Administration Buildings</t>
  </si>
  <si>
    <t>Change Rooms and Ablution Blocks</t>
  </si>
  <si>
    <t>Heavy Equipment Maintenance Facilities</t>
  </si>
  <si>
    <t>Preventive Maintenance Workshop</t>
  </si>
  <si>
    <t>Utilities Area</t>
  </si>
  <si>
    <t>Repair Workshop</t>
  </si>
  <si>
    <t>Tyre Storage and Change</t>
  </si>
  <si>
    <t>Warehouse</t>
  </si>
  <si>
    <t>Fabrication Facility</t>
  </si>
  <si>
    <t>Assembly Area</t>
  </si>
  <si>
    <t>Light Vehicle Equipment Maintenance Facilities</t>
  </si>
  <si>
    <t>Hydraulics and Electrical Repair Workshop</t>
  </si>
  <si>
    <t>Repair/Rebuild Workshop</t>
  </si>
  <si>
    <t>Laydown Area</t>
  </si>
  <si>
    <t>Water and Waste Services</t>
  </si>
  <si>
    <t>Raw Water Storage</t>
  </si>
  <si>
    <t>Fire Water Storage</t>
  </si>
  <si>
    <t>Potable Water Storage</t>
  </si>
  <si>
    <t>Waste Water Disposal</t>
  </si>
  <si>
    <t>Sewage Effluent Disposal</t>
  </si>
  <si>
    <t>Raw Water Distribution</t>
  </si>
  <si>
    <t>Firewater Distribution</t>
  </si>
  <si>
    <t>Potable Water Distribution</t>
  </si>
  <si>
    <t>Power, Communications and Security Systems</t>
  </si>
  <si>
    <t>Light Vehicle Power Supply and Distribution</t>
  </si>
  <si>
    <t>Communication</t>
  </si>
  <si>
    <t>Mine Dispatch</t>
  </si>
  <si>
    <t>Security</t>
  </si>
  <si>
    <t>Compressed Air Services</t>
  </si>
  <si>
    <t>Compression</t>
  </si>
  <si>
    <t>Wet Receiving</t>
  </si>
  <si>
    <t>Drying</t>
  </si>
  <si>
    <t>Dry Receiving</t>
  </si>
  <si>
    <t>Distribution</t>
  </si>
  <si>
    <t>Fuel and Lubrication Storage and Reticulation</t>
  </si>
  <si>
    <t>Diesel Bulk Storage Facility</t>
  </si>
  <si>
    <t>Central Refuelling Facility</t>
  </si>
  <si>
    <t>Remote Refuelling Bay 1</t>
  </si>
  <si>
    <t>Remote Refuelling Bay 2</t>
  </si>
  <si>
    <t>Remote Refuelling Bay 3</t>
  </si>
  <si>
    <t>Heavy Vehicle Lube Unloading and Storage</t>
  </si>
  <si>
    <t>Light Vehicle Refuelling Area</t>
  </si>
  <si>
    <t>Light Vehicle Lube Unloading and Storage</t>
  </si>
  <si>
    <t>Mining - Underground</t>
  </si>
  <si>
    <t>Underground Mine</t>
  </si>
  <si>
    <t>Mine Development</t>
  </si>
  <si>
    <t>Access Development</t>
  </si>
  <si>
    <t>Mine Stockpiling</t>
  </si>
  <si>
    <t>Level Access Development</t>
  </si>
  <si>
    <t>Haulage Development</t>
  </si>
  <si>
    <t>Reef Development</t>
  </si>
  <si>
    <t>Raw</t>
  </si>
  <si>
    <t>Underground Mining Equipment</t>
  </si>
  <si>
    <t>Mine Maintenance Equipment</t>
  </si>
  <si>
    <t>Underground Communication</t>
  </si>
  <si>
    <t>Reinforcements</t>
  </si>
  <si>
    <t>Control and Instrumentation</t>
  </si>
  <si>
    <t>Underground Mine Infrastructure</t>
  </si>
  <si>
    <t>Mine Roads</t>
  </si>
  <si>
    <t>Development</t>
  </si>
  <si>
    <t>Truck Shop</t>
  </si>
  <si>
    <t>Explosive Magazine</t>
  </si>
  <si>
    <t>Mine Stockpiling Platforms</t>
  </si>
  <si>
    <t>Timber Preparation Facilities</t>
  </si>
  <si>
    <t>Mine Facilities and Services</t>
  </si>
  <si>
    <t>Planning and Exploration</t>
  </si>
  <si>
    <t>Underground Mine Shaft</t>
  </si>
  <si>
    <t>Shaft Development</t>
  </si>
  <si>
    <t>Head Frame</t>
  </si>
  <si>
    <t>Hoisting</t>
  </si>
  <si>
    <t>Ventilation and Services</t>
  </si>
  <si>
    <t>Ventilation Shafts</t>
  </si>
  <si>
    <t>Ventilation Fans and Equipment</t>
  </si>
  <si>
    <t>Refrigeration</t>
  </si>
  <si>
    <t>Compressed Air Plant</t>
  </si>
  <si>
    <t>Underground Material Handling</t>
  </si>
  <si>
    <t>Ore and Waste Passes</t>
  </si>
  <si>
    <t>Underground Crushing</t>
  </si>
  <si>
    <t>Underground Conveying</t>
  </si>
  <si>
    <t>Dry Plant</t>
  </si>
  <si>
    <t>Crushers</t>
  </si>
  <si>
    <t>Train 1</t>
  </si>
  <si>
    <t>Train 2</t>
  </si>
  <si>
    <t>Truck Dump Pad</t>
  </si>
  <si>
    <t>Chamber</t>
  </si>
  <si>
    <t>Tunnel</t>
  </si>
  <si>
    <r>
      <rPr>
        <b/>
        <sz val="10"/>
        <color rgb="FFFF0000"/>
        <rFont val="Aptos Narrow"/>
        <family val="2"/>
      </rPr>
      <t>Crusher Discharge Conveyor</t>
    </r>
  </si>
  <si>
    <t>Transfer Conveyor</t>
  </si>
  <si>
    <t>Dust Control</t>
  </si>
  <si>
    <t>Building or Structure</t>
  </si>
  <si>
    <t>Electrical</t>
  </si>
  <si>
    <t>Coarse Ore Transport</t>
  </si>
  <si>
    <t>Stockpile Feed</t>
  </si>
  <si>
    <t>Conveyor</t>
  </si>
  <si>
    <t>Tail End</t>
  </si>
  <si>
    <t>Drive Station</t>
  </si>
  <si>
    <t>Take-up</t>
  </si>
  <si>
    <t>Head End</t>
  </si>
  <si>
    <r>
      <t xml:space="preserve">Coarse Ore Storage </t>
    </r>
    <r>
      <rPr>
        <b/>
        <sz val="10"/>
        <color rgb="FFFF0000"/>
        <rFont val="Aptos Narrow"/>
        <family val="2"/>
      </rPr>
      <t>&amp; Reclaim</t>
    </r>
  </si>
  <si>
    <t>Base Pad</t>
  </si>
  <si>
    <t>Reclaim</t>
  </si>
  <si>
    <t>Escape</t>
  </si>
  <si>
    <t>Coarse Ore Reclaim</t>
  </si>
  <si>
    <r>
      <t xml:space="preserve">Coarse Ore Screening </t>
    </r>
    <r>
      <rPr>
        <b/>
        <sz val="10"/>
        <color rgb="FFFF0000"/>
        <rFont val="Aptos Narrow"/>
        <family val="2"/>
      </rPr>
      <t>and Transport</t>
    </r>
  </si>
  <si>
    <r>
      <rPr>
        <b/>
        <sz val="10"/>
        <color rgb="FFFF0000"/>
        <rFont val="Aptos Narrow"/>
        <family val="2"/>
      </rPr>
      <t>Screening</t>
    </r>
  </si>
  <si>
    <t>Coarse Ore Screen Oversize</t>
  </si>
  <si>
    <t>Coarse Ore Screen Undersize</t>
  </si>
  <si>
    <t>HPGR Feed</t>
  </si>
  <si>
    <t>Secondary Crushing</t>
  </si>
  <si>
    <t>Train 3</t>
  </si>
  <si>
    <t>Train 4</t>
  </si>
  <si>
    <t>Train 5</t>
  </si>
  <si>
    <t>Dust collection</t>
  </si>
  <si>
    <t>Tertiary Crushing</t>
  </si>
  <si>
    <t>High Pressure Grinding</t>
  </si>
  <si>
    <t>Fine Ore Storage Feed</t>
  </si>
  <si>
    <t>Dust Collection</t>
  </si>
  <si>
    <t>Fine Ore</t>
  </si>
  <si>
    <t>Storage Bins</t>
  </si>
  <si>
    <t>Reclaim Feeders</t>
  </si>
  <si>
    <t>Train 6</t>
  </si>
  <si>
    <t>Screen Conveyors</t>
  </si>
  <si>
    <t>Screens</t>
  </si>
  <si>
    <t>Screen Oversize</t>
  </si>
  <si>
    <t>HPGR Oversize</t>
  </si>
  <si>
    <t>Surge Bin</t>
  </si>
  <si>
    <t>Reclaim Feeder</t>
  </si>
  <si>
    <t>Reclaim Conveyor</t>
  </si>
  <si>
    <t>Surge Bin Overflow</t>
  </si>
  <si>
    <t>Dead Stockpile</t>
  </si>
  <si>
    <t>Wet Plant</t>
  </si>
  <si>
    <t>Grinding and Classification</t>
  </si>
  <si>
    <t>Grinding</t>
  </si>
  <si>
    <t>Classification</t>
  </si>
  <si>
    <t>Flash Flotation (future)</t>
  </si>
  <si>
    <r>
      <rPr>
        <b/>
        <sz val="10"/>
        <color rgb="FF9C5600"/>
        <rFont val="Aptos Narrow"/>
        <family val="2"/>
      </rPr>
      <t>Future</t>
    </r>
  </si>
  <si>
    <t>Gravity Gold Recovery (future)</t>
  </si>
  <si>
    <t>Gold Room (future)</t>
  </si>
  <si>
    <t>Reagent Distribution</t>
  </si>
  <si>
    <t>Media Handling</t>
  </si>
  <si>
    <t>Ball Unloading</t>
  </si>
  <si>
    <t>Ball Storage</t>
  </si>
  <si>
    <t>Ball Conveying</t>
  </si>
  <si>
    <r>
      <rPr>
        <sz val="10"/>
        <color rgb="FFFF0000"/>
        <rFont val="Aptos Narrow"/>
        <family val="2"/>
      </rPr>
      <t>Grinding Train 1 Cooling Water</t>
    </r>
  </si>
  <si>
    <r>
      <rPr>
        <sz val="10"/>
        <color rgb="FFFF0000"/>
        <rFont val="Aptos Narrow"/>
        <family val="2"/>
      </rPr>
      <t>Fluor</t>
    </r>
  </si>
  <si>
    <r>
      <rPr>
        <sz val="10"/>
        <color rgb="FFFF0000"/>
        <rFont val="Aptos Narrow"/>
        <family val="2"/>
      </rPr>
      <t>Grinding Train 2 Cooling Water</t>
    </r>
  </si>
  <si>
    <r>
      <rPr>
        <sz val="10"/>
        <color rgb="FFFF0000"/>
        <rFont val="Aptos Narrow"/>
        <family val="2"/>
      </rPr>
      <t>Grinding Train 3 Cooling Water</t>
    </r>
  </si>
  <si>
    <t>Copper Rougher Processing</t>
  </si>
  <si>
    <t>Surge and Conditioning</t>
  </si>
  <si>
    <t>Flotation</t>
  </si>
  <si>
    <t>Concentrate Regrinding</t>
  </si>
  <si>
    <r>
      <rPr>
        <sz val="10"/>
        <color rgb="FFFF0000"/>
        <rFont val="Aptos Narrow"/>
        <family val="2"/>
      </rPr>
      <t>Stage 1 Train 1</t>
    </r>
  </si>
  <si>
    <r>
      <rPr>
        <sz val="10"/>
        <color rgb="FFFF0000"/>
        <rFont val="Aptos Narrow"/>
        <family val="2"/>
      </rPr>
      <t>Stage 1 Train 2</t>
    </r>
  </si>
  <si>
    <r>
      <rPr>
        <sz val="10"/>
        <color rgb="FFFF0000"/>
        <rFont val="Aptos Narrow"/>
        <family val="2"/>
      </rPr>
      <t>Stage 1 Train 3</t>
    </r>
  </si>
  <si>
    <r>
      <rPr>
        <sz val="10"/>
        <color rgb="FFFF0000"/>
        <rFont val="Aptos Narrow"/>
        <family val="2"/>
      </rPr>
      <t>Stage 1 Train 4</t>
    </r>
  </si>
  <si>
    <r>
      <rPr>
        <sz val="10"/>
        <color rgb="FFFF0000"/>
        <rFont val="Aptos Narrow"/>
        <family val="2"/>
      </rPr>
      <t>Stage 2 Train 1</t>
    </r>
  </si>
  <si>
    <r>
      <rPr>
        <sz val="10"/>
        <color rgb="FFFF0000"/>
        <rFont val="Aptos Narrow"/>
        <family val="2"/>
      </rPr>
      <t>Stage 2 Train 2</t>
    </r>
  </si>
  <si>
    <r>
      <rPr>
        <sz val="10"/>
        <color rgb="FFFF0000"/>
        <rFont val="Aptos Narrow"/>
        <family val="2"/>
      </rPr>
      <t>Stage 2 Train 3</t>
    </r>
  </si>
  <si>
    <r>
      <rPr>
        <sz val="10"/>
        <color rgb="FFFF0000"/>
        <rFont val="Aptos Narrow"/>
        <family val="2"/>
      </rPr>
      <t>Stage 2 Train 4</t>
    </r>
  </si>
  <si>
    <t>Concentrate Regrind Media Handling</t>
  </si>
  <si>
    <r>
      <rPr>
        <sz val="10"/>
        <color rgb="FFFF0000"/>
        <rFont val="Aptos Narrow"/>
        <family val="2"/>
      </rPr>
      <t>Stage 2 Header</t>
    </r>
  </si>
  <si>
    <r>
      <rPr>
        <sz val="10"/>
        <color rgb="FFFF0000"/>
        <rFont val="Aptos Narrow"/>
        <family val="2"/>
      </rPr>
      <t>Stage 2 Dewatering</t>
    </r>
  </si>
  <si>
    <r>
      <rPr>
        <sz val="10"/>
        <color rgb="FFFF0000"/>
        <rFont val="Aptos Narrow"/>
        <family val="2"/>
      </rPr>
      <t>Stage 2 Recirculation</t>
    </r>
  </si>
  <si>
    <t>Tailings Collection</t>
  </si>
  <si>
    <t>Tank</t>
  </si>
  <si>
    <t>Pumping</t>
  </si>
  <si>
    <r>
      <t xml:space="preserve">Reagent Distribution </t>
    </r>
    <r>
      <rPr>
        <b/>
        <sz val="10"/>
        <color rgb="FFFF0000"/>
        <rFont val="Aptos Narrow"/>
        <family val="2"/>
      </rPr>
      <t>(not used)</t>
    </r>
  </si>
  <si>
    <t>Sampling and Analysis</t>
  </si>
  <si>
    <r>
      <rPr>
        <sz val="10"/>
        <color rgb="FFFF0000"/>
        <rFont val="Aptos Narrow"/>
        <family val="2"/>
      </rPr>
      <t>On-Stream Analyser 1</t>
    </r>
  </si>
  <si>
    <r>
      <rPr>
        <sz val="10"/>
        <color rgb="FFFF0000"/>
        <rFont val="Aptos Narrow"/>
        <family val="2"/>
      </rPr>
      <t>On-Stream Analyser 2</t>
    </r>
  </si>
  <si>
    <r>
      <rPr>
        <sz val="10"/>
        <color rgb="FFFF0000"/>
        <rFont val="Aptos Narrow"/>
        <family val="2"/>
      </rPr>
      <t>Stage 1 Train 1/2 Mill Product</t>
    </r>
  </si>
  <si>
    <r>
      <rPr>
        <sz val="10"/>
        <color rgb="FFFF0000"/>
        <rFont val="Aptos Narrow"/>
        <family val="2"/>
      </rPr>
      <t>Stage 1 Train 3/4 Mill Product</t>
    </r>
  </si>
  <si>
    <r>
      <rPr>
        <sz val="10"/>
        <color rgb="FFFF0000"/>
        <rFont val="Aptos Narrow"/>
        <family val="2"/>
      </rPr>
      <t>Stage 2 Train 1/2 Cyclone Overflow</t>
    </r>
  </si>
  <si>
    <r>
      <rPr>
        <sz val="10"/>
        <color rgb="FFFF0000"/>
        <rFont val="Aptos Narrow"/>
        <family val="2"/>
      </rPr>
      <t>Stage 2 train 1/2 Cyclone Overflow</t>
    </r>
  </si>
  <si>
    <r>
      <rPr>
        <sz val="10"/>
        <color rgb="FFFF0000"/>
        <rFont val="Aptos Narrow"/>
        <family val="2"/>
      </rPr>
      <t>Stage 2 Train 1/2 Mill Product</t>
    </r>
  </si>
  <si>
    <r>
      <rPr>
        <sz val="10"/>
        <color rgb="FFFF0000"/>
        <rFont val="Aptos Narrow"/>
        <family val="2"/>
      </rPr>
      <t>Stage 2 Train 3/4 Mill Product</t>
    </r>
  </si>
  <si>
    <t>Copper Cleaner Processing</t>
  </si>
  <si>
    <t>Aeration</t>
  </si>
  <si>
    <t>Conditioning</t>
  </si>
  <si>
    <r>
      <rPr>
        <b/>
        <sz val="10"/>
        <color rgb="FFFF0000"/>
        <rFont val="Aptos Narrow"/>
        <family val="2"/>
      </rPr>
      <t>First Cleaner Flotation - Scalper Flotation</t>
    </r>
  </si>
  <si>
    <r>
      <rPr>
        <b/>
        <sz val="10"/>
        <color rgb="FFFF0000"/>
        <rFont val="Aptos Narrow"/>
        <family val="2"/>
      </rPr>
      <t>Second Cleaner Flotation - Scavenger Conditioning and Flotation</t>
    </r>
  </si>
  <si>
    <r>
      <rPr>
        <b/>
        <sz val="10"/>
        <color rgb="FFFF0000"/>
        <rFont val="Aptos Narrow"/>
        <family val="2"/>
      </rPr>
      <t>Third Cleaner Flotation - Recleaner Conditioning and Flotation</t>
    </r>
  </si>
  <si>
    <r>
      <rPr>
        <sz val="10"/>
        <color rgb="FFFF0000"/>
        <rFont val="Aptos Narrow"/>
        <family val="2"/>
      </rPr>
      <t>On-Stream Analyser 3</t>
    </r>
  </si>
  <si>
    <t>Coarse Particle Processing (future)</t>
  </si>
  <si>
    <t>Feed Classification (future)</t>
  </si>
  <si>
    <t>Train 1 (future)</t>
  </si>
  <si>
    <r>
      <rPr>
        <sz val="10"/>
        <color rgb="FF9C5600"/>
        <rFont val="Aptos Narrow"/>
        <family val="2"/>
      </rPr>
      <t>Future</t>
    </r>
  </si>
  <si>
    <t>Train 2 (future)</t>
  </si>
  <si>
    <t>Train 3 (future)</t>
  </si>
  <si>
    <t>Conditioning (future)</t>
  </si>
  <si>
    <t>Flotation (future)</t>
  </si>
  <si>
    <t>Concentrate Regrind (future)</t>
  </si>
  <si>
    <t>Regrind Media Handling (future)</t>
  </si>
  <si>
    <t>Sampling and Analysis (future)</t>
  </si>
  <si>
    <t>Facilities and Services (future)</t>
  </si>
  <si>
    <t>Building or Structure (future)</t>
  </si>
  <si>
    <t>Electrical (future)</t>
  </si>
  <si>
    <t>Molybdenum Processing (future)</t>
  </si>
  <si>
    <t>Bulk Concentrate Thickening (future)</t>
  </si>
  <si>
    <t>Rougher Conditioning (future)</t>
  </si>
  <si>
    <t>Rougher Flotation (future)</t>
  </si>
  <si>
    <t>Cleaner Flotation (future)</t>
  </si>
  <si>
    <t>Common Facilities and Services (future)</t>
  </si>
  <si>
    <t>Concentrate Handling</t>
  </si>
  <si>
    <t>Copper Concentrate Thickening</t>
  </si>
  <si>
    <r>
      <rPr>
        <sz val="10"/>
        <color rgb="FFFF0000"/>
        <rFont val="Aptos Narrow"/>
        <family val="2"/>
      </rPr>
      <t>Feed</t>
    </r>
  </si>
  <si>
    <r>
      <rPr>
        <sz val="10"/>
        <color rgb="FFFF0000"/>
        <rFont val="Aptos Narrow"/>
        <family val="2"/>
      </rPr>
      <t>Thickener</t>
    </r>
  </si>
  <si>
    <r>
      <rPr>
        <sz val="10"/>
        <color rgb="FFFF0000"/>
        <rFont val="Aptos Narrow"/>
        <family val="2"/>
      </rPr>
      <t>Overflow</t>
    </r>
  </si>
  <si>
    <r>
      <rPr>
        <sz val="10"/>
        <color rgb="FFFF0000"/>
        <rFont val="Aptos Narrow"/>
        <family val="2"/>
      </rPr>
      <t>Underflow</t>
    </r>
  </si>
  <si>
    <t>Copper Concentrate Filtration and Storage</t>
  </si>
  <si>
    <r>
      <rPr>
        <sz val="10"/>
        <color rgb="FFFF0000"/>
        <rFont val="Aptos Narrow"/>
        <family val="2"/>
      </rPr>
      <t>Train 1 (filter 1)</t>
    </r>
  </si>
  <si>
    <r>
      <rPr>
        <sz val="10"/>
        <color rgb="FFFF0000"/>
        <rFont val="Aptos Narrow"/>
        <family val="2"/>
      </rPr>
      <t>Train 2 (filter 2)</t>
    </r>
  </si>
  <si>
    <r>
      <rPr>
        <sz val="10"/>
        <color rgb="FFFF0000"/>
        <rFont val="Aptos Narrow"/>
        <family val="2"/>
      </rPr>
      <t>Train 3 (filter 3)</t>
    </r>
  </si>
  <si>
    <r>
      <rPr>
        <sz val="10"/>
        <color rgb="FFFF0000"/>
        <rFont val="Aptos Narrow"/>
        <family val="2"/>
      </rPr>
      <t>Train 4 (filter 4)</t>
    </r>
  </si>
  <si>
    <r>
      <rPr>
        <sz val="10"/>
        <color rgb="FFFF0000"/>
        <rFont val="Aptos Narrow"/>
        <family val="2"/>
      </rPr>
      <t xml:space="preserve">Filtrate </t>
    </r>
    <r>
      <rPr>
        <strike/>
        <sz val="10"/>
        <color rgb="FFFF0000"/>
        <rFont val="Aptos Narrow"/>
        <family val="2"/>
      </rPr>
      <t>Transfer Conveyor</t>
    </r>
  </si>
  <si>
    <r>
      <rPr>
        <strike/>
        <sz val="10"/>
        <color rgb="FFFF0000"/>
        <rFont val="Aptos Narrow"/>
        <family val="2"/>
      </rPr>
      <t>Storage Conveyor</t>
    </r>
  </si>
  <si>
    <r>
      <rPr>
        <strike/>
        <sz val="10"/>
        <color rgb="FFFF0000"/>
        <rFont val="Aptos Narrow"/>
        <family val="2"/>
      </rPr>
      <t>Sampler Conveyor</t>
    </r>
  </si>
  <si>
    <t>Copper Concentrate Reclaim and Loadout</t>
  </si>
  <si>
    <r>
      <rPr>
        <sz val="10"/>
        <color rgb="FFFF0000"/>
        <rFont val="Aptos Narrow"/>
        <family val="2"/>
      </rPr>
      <t>Reclaim</t>
    </r>
  </si>
  <si>
    <r>
      <rPr>
        <sz val="10"/>
        <color rgb="FFFF0000"/>
        <rFont val="Aptos Narrow"/>
        <family val="2"/>
      </rPr>
      <t xml:space="preserve">Loadout </t>
    </r>
    <r>
      <rPr>
        <strike/>
        <sz val="10"/>
        <color rgb="FFFF0000"/>
        <rFont val="Aptos Narrow"/>
        <family val="2"/>
      </rPr>
      <t>Storage Reclaim Conveyor</t>
    </r>
  </si>
  <si>
    <r>
      <rPr>
        <strike/>
        <sz val="10"/>
        <color rgb="FFFF0000"/>
        <rFont val="Aptos Narrow"/>
        <family val="2"/>
      </rPr>
      <t>Product Sampler Conveyor</t>
    </r>
  </si>
  <si>
    <r>
      <rPr>
        <strike/>
        <sz val="10"/>
        <color rgb="FFFF0000"/>
        <rFont val="Aptos Narrow"/>
        <family val="2"/>
      </rPr>
      <t>Loadout Conveyor</t>
    </r>
  </si>
  <si>
    <t>Molybdenum Concentrate Thickening (future)</t>
  </si>
  <si>
    <t>Molybdenum Concentrate Filtration and Storage (future)</t>
  </si>
  <si>
    <t>Molybdenum Concentrate Bagging (future)</t>
  </si>
  <si>
    <r>
      <rPr>
        <sz val="10"/>
        <color rgb="FFFF0000"/>
        <rFont val="Aptos Narrow"/>
        <family val="2"/>
      </rPr>
      <t>Truck Wash</t>
    </r>
  </si>
  <si>
    <t>Tailings Handling</t>
  </si>
  <si>
    <t>Rougher Thickening</t>
  </si>
  <si>
    <r>
      <rPr>
        <sz val="10"/>
        <color rgb="FFFF0000"/>
        <rFont val="Aptos Narrow"/>
        <family val="2"/>
      </rPr>
      <t>Feed Distribution</t>
    </r>
  </si>
  <si>
    <r>
      <rPr>
        <sz val="10"/>
        <color rgb="FFFF0000"/>
        <rFont val="Aptos Narrow"/>
        <family val="2"/>
      </rPr>
      <t>Train 1</t>
    </r>
  </si>
  <si>
    <r>
      <rPr>
        <sz val="10"/>
        <color rgb="FFFF0000"/>
        <rFont val="Aptos Narrow"/>
        <family val="2"/>
      </rPr>
      <t>Train 2</t>
    </r>
  </si>
  <si>
    <r>
      <rPr>
        <sz val="10"/>
        <color rgb="FFFF0000"/>
        <rFont val="Aptos Narrow"/>
        <family val="2"/>
      </rPr>
      <t>Train 3</t>
    </r>
  </si>
  <si>
    <t>Rougher Disposal Pumping</t>
  </si>
  <si>
    <r>
      <rPr>
        <sz val="10"/>
        <color rgb="FFFF0000"/>
        <rFont val="Aptos Narrow"/>
        <family val="2"/>
      </rPr>
      <t>Line 1</t>
    </r>
  </si>
  <si>
    <r>
      <rPr>
        <sz val="10"/>
        <color rgb="FFFF0000"/>
        <rFont val="Aptos Narrow"/>
        <family val="2"/>
      </rPr>
      <t>Line 2</t>
    </r>
  </si>
  <si>
    <r>
      <rPr>
        <sz val="10"/>
        <color rgb="FFFF0000"/>
        <rFont val="Aptos Narrow"/>
        <family val="2"/>
      </rPr>
      <t>Line 3</t>
    </r>
  </si>
  <si>
    <t>Filtration (future)</t>
  </si>
  <si>
    <t>CPF Sands De-Watering (future)</t>
  </si>
  <si>
    <t>Cleaner Thickening</t>
  </si>
  <si>
    <t>Cleaner Disposal Pumping</t>
  </si>
  <si>
    <t>Tailings Overland Conveying (future)</t>
  </si>
  <si>
    <t>Reagents</t>
  </si>
  <si>
    <t>Exterior Storage</t>
  </si>
  <si>
    <t>Interior Storage</t>
  </si>
  <si>
    <t>Handling</t>
  </si>
  <si>
    <t>Preparation</t>
  </si>
  <si>
    <t>Collector</t>
  </si>
  <si>
    <t>Promoter</t>
  </si>
  <si>
    <t>Promoter 1 Preparation</t>
  </si>
  <si>
    <t>Promoter 1 Distribution</t>
  </si>
  <si>
    <t>Promoter 2 Preparation</t>
  </si>
  <si>
    <t>Promoter 2 Distribution</t>
  </si>
  <si>
    <t>Promoter 3 Preparation</t>
  </si>
  <si>
    <t>Promoter 3 Distribution</t>
  </si>
  <si>
    <t>Frother</t>
  </si>
  <si>
    <t>Frother 1 Preparation</t>
  </si>
  <si>
    <t>Frother 1 Distribution</t>
  </si>
  <si>
    <t>Frother 2 Preparation</t>
  </si>
  <si>
    <t>Frother 2 Distribution</t>
  </si>
  <si>
    <t>SMBS</t>
  </si>
  <si>
    <t>SMBS 1 Handling</t>
  </si>
  <si>
    <t>SMBS 1 Preparation</t>
  </si>
  <si>
    <t>SMBS 1 Storage</t>
  </si>
  <si>
    <t>SMBS 1 Distribution</t>
  </si>
  <si>
    <t>SMBS 2 Handling</t>
  </si>
  <si>
    <t>SMBS 2 Preparation</t>
  </si>
  <si>
    <t>SMBS 2 Storage</t>
  </si>
  <si>
    <t>SMBS 2 Distribution</t>
  </si>
  <si>
    <t>Flocculant</t>
  </si>
  <si>
    <t>Flocculant 1 Handling</t>
  </si>
  <si>
    <t>Flocculant 1 Preparation</t>
  </si>
  <si>
    <t>Flocculant 1 Storage</t>
  </si>
  <si>
    <t>Flocculant 1 Distribution</t>
  </si>
  <si>
    <t>Flocculant 2 Handling</t>
  </si>
  <si>
    <t>Flocculant 2 Preparation</t>
  </si>
  <si>
    <t>Flocculant 2 Storage</t>
  </si>
  <si>
    <t>Flocculant 2 Distribution</t>
  </si>
  <si>
    <t>Spare Reagent Systems</t>
  </si>
  <si>
    <t>Spare Reagent 1</t>
  </si>
  <si>
    <t>Spare Reagent 2</t>
  </si>
  <si>
    <t>Dosing</t>
  </si>
  <si>
    <t>Plant Services</t>
  </si>
  <si>
    <t>Raw Water</t>
  </si>
  <si>
    <t>Storage</t>
  </si>
  <si>
    <t>Process Water</t>
  </si>
  <si>
    <t>Gland Seal Water</t>
  </si>
  <si>
    <t>Cooling Water</t>
  </si>
  <si>
    <t>Treated Water</t>
  </si>
  <si>
    <t>Plant</t>
  </si>
  <si>
    <t>Plant Air</t>
  </si>
  <si>
    <t>Processing Area</t>
  </si>
  <si>
    <t>CPF Hydrofloat Area</t>
  </si>
  <si>
    <t>CPF Tailings Area</t>
  </si>
  <si>
    <t>Concentrate Filtration Area</t>
  </si>
  <si>
    <t>Concentrate Drying Area</t>
  </si>
  <si>
    <t>Instrument Air</t>
  </si>
  <si>
    <t>Flotation Blower Air</t>
  </si>
  <si>
    <t>Rougher Flotation</t>
  </si>
  <si>
    <t>Cleaner Aeration Area</t>
  </si>
  <si>
    <t>Cleaner Flotation</t>
  </si>
  <si>
    <t>Cleaner Scavenger Flotation</t>
  </si>
  <si>
    <t>SMBS Neutralisation</t>
  </si>
  <si>
    <t>Nitrogen (future)</t>
  </si>
  <si>
    <t>Tailings and Water Management</t>
  </si>
  <si>
    <t>Fluor/KP</t>
  </si>
  <si>
    <t>IPMT</t>
  </si>
  <si>
    <t>IPMT/Fluor</t>
  </si>
  <si>
    <t>IPMT/Fluor/RDMC</t>
  </si>
  <si>
    <t>Tailings Management</t>
  </si>
  <si>
    <t>KP/Fluor</t>
  </si>
  <si>
    <t>IMPT/Fluor</t>
  </si>
  <si>
    <t>Rougher Dams</t>
  </si>
  <si>
    <t>KP</t>
  </si>
  <si>
    <t>RDMC/IPMT</t>
  </si>
  <si>
    <r>
      <rPr>
        <sz val="10"/>
        <color rgb="FFFF0000"/>
        <rFont val="Aptos Narrow"/>
        <family val="2"/>
      </rPr>
      <t>Compartment 1</t>
    </r>
  </si>
  <si>
    <r>
      <rPr>
        <sz val="10"/>
        <color rgb="FFFF0000"/>
        <rFont val="Aptos Narrow"/>
        <family val="2"/>
      </rPr>
      <t>Compartment 2</t>
    </r>
  </si>
  <si>
    <r>
      <rPr>
        <sz val="10"/>
        <color rgb="FFFF0000"/>
        <rFont val="Aptos Narrow"/>
        <family val="2"/>
      </rPr>
      <t>Compartment 3</t>
    </r>
  </si>
  <si>
    <r>
      <rPr>
        <sz val="10"/>
        <color rgb="FFFF0000"/>
        <rFont val="Aptos Narrow"/>
        <family val="2"/>
      </rPr>
      <t>Monitoring Wells</t>
    </r>
  </si>
  <si>
    <t>Cleaner Dams</t>
  </si>
  <si>
    <t>Seepage System and Return</t>
  </si>
  <si>
    <r>
      <rPr>
        <sz val="10"/>
        <color rgb="FFFF0000"/>
        <rFont val="Aptos Narrow"/>
        <family val="2"/>
      </rPr>
      <t>Rougher Collection</t>
    </r>
  </si>
  <si>
    <r>
      <rPr>
        <sz val="10"/>
        <color rgb="FFFF0000"/>
        <rFont val="Aptos Narrow"/>
        <family val="2"/>
      </rPr>
      <t>Rougher Return</t>
    </r>
  </si>
  <si>
    <t>Cleaner Collection</t>
  </si>
  <si>
    <t>Cleaner Return</t>
  </si>
  <si>
    <t>Sand Deposition (future)</t>
  </si>
  <si>
    <t>Transport and Deposition</t>
  </si>
  <si>
    <t>Fluor/IPMT</t>
  </si>
  <si>
    <t>Rougher Pipeline 1</t>
  </si>
  <si>
    <t>Rougher Pipeline 2</t>
  </si>
  <si>
    <t>Rougher Pipeline 3</t>
  </si>
  <si>
    <t>Rougher Deposition</t>
  </si>
  <si>
    <t>IMPT</t>
  </si>
  <si>
    <t>Cleaner Transport</t>
  </si>
  <si>
    <t>Cleaner Deposition</t>
  </si>
  <si>
    <t>Reclaim Water</t>
  </si>
  <si>
    <t>Rougher TSF</t>
  </si>
  <si>
    <t>Pontoons</t>
  </si>
  <si>
    <t>Return Pumping</t>
  </si>
  <si>
    <t>Return Piping</t>
  </si>
  <si>
    <t>Transfer Pumping</t>
  </si>
  <si>
    <t>Transfer Piping</t>
  </si>
  <si>
    <t>Cleaner TSF</t>
  </si>
  <si>
    <t>Water Management</t>
  </si>
  <si>
    <t>Fluor/IPMT/RDMC</t>
  </si>
  <si>
    <t>Surface Water Diversion</t>
  </si>
  <si>
    <t>RDMC/Fluor/IPMT</t>
  </si>
  <si>
    <t>Mining</t>
  </si>
  <si>
    <t>TSF</t>
  </si>
  <si>
    <t>Surface Water Collection and Storage</t>
  </si>
  <si>
    <t>Fluor/IMPT/ RDMC</t>
  </si>
  <si>
    <t>Surface Water Pumping and Distribution</t>
  </si>
  <si>
    <t>Surface Water Sediment and Erosion Control</t>
  </si>
  <si>
    <t>Process Water Dams</t>
  </si>
  <si>
    <t>Raw Water Dams</t>
  </si>
  <si>
    <t>Turkey Nests</t>
  </si>
  <si>
    <t>Rejects Pond</t>
  </si>
  <si>
    <r>
      <rPr>
        <sz val="10"/>
        <color rgb="FFFF0000"/>
        <rFont val="Aptos Narrow"/>
        <family val="2"/>
      </rPr>
      <t>Earthworks</t>
    </r>
  </si>
  <si>
    <r>
      <rPr>
        <sz val="10"/>
        <color rgb="FFFF0000"/>
        <rFont val="Aptos Narrow"/>
        <family val="2"/>
      </rPr>
      <t>Transfer Pumping</t>
    </r>
  </si>
  <si>
    <r>
      <rPr>
        <sz val="10"/>
        <color rgb="FFFF0000"/>
        <rFont val="Aptos Narrow"/>
        <family val="2"/>
      </rPr>
      <t>Transfer Piping</t>
    </r>
  </si>
  <si>
    <r>
      <rPr>
        <sz val="10"/>
        <color rgb="FFFF0000"/>
        <rFont val="Aptos Narrow"/>
        <family val="2"/>
      </rPr>
      <t>Sprayfield</t>
    </r>
  </si>
  <si>
    <t>Acid Rock Drainage Treatment</t>
  </si>
  <si>
    <t>Dams</t>
  </si>
  <si>
    <t>Pumps and Pipelines</t>
  </si>
  <si>
    <t>Seepage Control</t>
  </si>
  <si>
    <t>Effluent Treatment</t>
  </si>
  <si>
    <t>Industrial</t>
  </si>
  <si>
    <t>Plant Sewage</t>
  </si>
  <si>
    <r>
      <rPr>
        <sz val="10"/>
        <color rgb="FFFF0000"/>
        <rFont val="Aptos Narrow"/>
        <family val="2"/>
      </rPr>
      <t>Collection</t>
    </r>
  </si>
  <si>
    <r>
      <rPr>
        <sz val="10"/>
        <color rgb="FFFF0000"/>
        <rFont val="Aptos Narrow"/>
        <family val="2"/>
      </rPr>
      <t>Pumping</t>
    </r>
  </si>
  <si>
    <r>
      <rPr>
        <sz val="10"/>
        <color rgb="FFFF0000"/>
        <rFont val="Aptos Narrow"/>
        <family val="2"/>
      </rPr>
      <t>Piping</t>
    </r>
  </si>
  <si>
    <t>Village Sewage</t>
  </si>
  <si>
    <t>Collection</t>
  </si>
  <si>
    <t>Plant 1</t>
  </si>
  <si>
    <t>Plant 2</t>
  </si>
  <si>
    <t>Treated Effluent Storage</t>
  </si>
  <si>
    <t>Treated Effluent Pumping</t>
  </si>
  <si>
    <t>Treated Effluent Piping</t>
  </si>
  <si>
    <t>Agricultural</t>
  </si>
  <si>
    <t>Water Services</t>
  </si>
  <si>
    <t>Firewater Storage</t>
  </si>
  <si>
    <t>Firewater Pumping and Distribution</t>
  </si>
  <si>
    <t>Potable Water Treatment</t>
  </si>
  <si>
    <r>
      <rPr>
        <sz val="10"/>
        <color rgb="FFFF0000"/>
        <rFont val="Aptos Narrow"/>
        <family val="2"/>
      </rPr>
      <t>Plant 1</t>
    </r>
  </si>
  <si>
    <r>
      <rPr>
        <sz val="10"/>
        <color rgb="FFFF0000"/>
        <rFont val="Aptos Narrow"/>
        <family val="2"/>
      </rPr>
      <t>Plant 2</t>
    </r>
  </si>
  <si>
    <r>
      <rPr>
        <sz val="10"/>
        <color rgb="FFFF0000"/>
        <rFont val="Aptos Narrow"/>
        <family val="2"/>
      </rPr>
      <t>Common</t>
    </r>
  </si>
  <si>
    <r>
      <rPr>
        <sz val="10"/>
        <color rgb="FFFF0000"/>
        <rFont val="Aptos Narrow"/>
        <family val="2"/>
      </rPr>
      <t>System 1</t>
    </r>
  </si>
  <si>
    <r>
      <rPr>
        <sz val="10"/>
        <color rgb="FFFF0000"/>
        <rFont val="Aptos Narrow"/>
        <family val="2"/>
      </rPr>
      <t>System 2</t>
    </r>
  </si>
  <si>
    <r>
      <rPr>
        <sz val="10"/>
        <color rgb="FFFF0000"/>
        <rFont val="Aptos Narrow"/>
        <family val="2"/>
      </rPr>
      <t>Plant</t>
    </r>
  </si>
  <si>
    <t>Potable Water Pumping and Distribution</t>
  </si>
  <si>
    <r>
      <rPr>
        <sz val="10"/>
        <color rgb="FFFF0000"/>
        <rFont val="Aptos Narrow"/>
        <family val="2"/>
      </rPr>
      <t>Safety Shower</t>
    </r>
  </si>
  <si>
    <t>Internal Infrastructure</t>
  </si>
  <si>
    <t>On-Site Infrastructure</t>
  </si>
  <si>
    <t>Site Preparation, Earthworks and Fencing</t>
  </si>
  <si>
    <t>Site Security Fencing</t>
  </si>
  <si>
    <t>Detailed Earthworks</t>
  </si>
  <si>
    <t>Roads and Platforms</t>
  </si>
  <si>
    <t>Processing Plant Roads</t>
  </si>
  <si>
    <t>Crushing Plant Roads</t>
  </si>
  <si>
    <t>Exploration Roads</t>
  </si>
  <si>
    <t>Parking Areas and Hardstand Areas</t>
  </si>
  <si>
    <t>Exploration Platforms</t>
  </si>
  <si>
    <t>On-Site Helipad and Airstrip</t>
  </si>
  <si>
    <t>Permanent Village Road</t>
  </si>
  <si>
    <t>Mine Site Access Road</t>
  </si>
  <si>
    <t>Non-Process Facilities</t>
  </si>
  <si>
    <t>Fire, Ambulance, and Emergency Services</t>
  </si>
  <si>
    <t>Security and Medical Facilities</t>
  </si>
  <si>
    <t>Main Administration Building</t>
  </si>
  <si>
    <t>Laboratories</t>
  </si>
  <si>
    <t>Plant Warehouse and Maintenance Shop</t>
  </si>
  <si>
    <t>Change House and Dry Building</t>
  </si>
  <si>
    <t>Training Building and Facilities</t>
  </si>
  <si>
    <t>Stores and Warehouse</t>
  </si>
  <si>
    <t>Mobile Equipment</t>
  </si>
  <si>
    <t>Maintenance</t>
  </si>
  <si>
    <t>General and Administration</t>
  </si>
  <si>
    <t>Bulk Storage (NB Storage of Utilities)</t>
  </si>
  <si>
    <t>Diesel</t>
  </si>
  <si>
    <t>Reagents Receival and Storage</t>
  </si>
  <si>
    <t>Container Receival and Storage</t>
  </si>
  <si>
    <t>Services and Utilities (NB Distribution of Utilities)</t>
  </si>
  <si>
    <t>Environmental Monitoring</t>
  </si>
  <si>
    <t>Compressed Air</t>
  </si>
  <si>
    <t>Diesel Fuel Distribution and Refuelling</t>
  </si>
  <si>
    <t>Communications</t>
  </si>
  <si>
    <t>Distributed Control System</t>
  </si>
  <si>
    <t>Communications and Networks</t>
  </si>
  <si>
    <t>Accommodation</t>
  </si>
  <si>
    <t>Mess Hall and Food Storage</t>
  </si>
  <si>
    <t>Leisure Amenities</t>
  </si>
  <si>
    <t>Laundry Facilities</t>
  </si>
  <si>
    <t>Potable Water</t>
  </si>
  <si>
    <t>Firewater</t>
  </si>
  <si>
    <t>Support Facilities</t>
  </si>
  <si>
    <t>Underground Services</t>
  </si>
  <si>
    <t>Rail</t>
  </si>
  <si>
    <t>Vec</t>
  </si>
  <si>
    <t>On-Site Power Supply and Transmission</t>
  </si>
  <si>
    <t>PPE/WAR</t>
  </si>
  <si>
    <t>Power Stations</t>
  </si>
  <si>
    <t>WAR</t>
  </si>
  <si>
    <t>Administration and General Buildings</t>
  </si>
  <si>
    <t>Power Station 1</t>
  </si>
  <si>
    <t>HFO Storage Power Station 1</t>
  </si>
  <si>
    <t>Truck Unloading and Pumping Power Station 1</t>
  </si>
  <si>
    <t>Power Station 2</t>
  </si>
  <si>
    <t>HFO Storage Power Station 2</t>
  </si>
  <si>
    <t>Truck Unloading and Pumping Power Station 2</t>
  </si>
  <si>
    <t>Rail Unloading</t>
  </si>
  <si>
    <t>High Voltage Substations</t>
  </si>
  <si>
    <t>33/220 kV Solar PV Substation</t>
  </si>
  <si>
    <t>33/220 kV Power Station Substation</t>
  </si>
  <si>
    <t>220/33 kV Plant Main Substation</t>
  </si>
  <si>
    <t>Power Conditioning Equipment</t>
  </si>
  <si>
    <t>Load Bank</t>
  </si>
  <si>
    <t>Harmonic Filters 1</t>
  </si>
  <si>
    <t>Synchronous Condenser 1</t>
  </si>
  <si>
    <t>Battery Energy Storage System 1</t>
  </si>
  <si>
    <t>Harmonic Filters 2</t>
  </si>
  <si>
    <t>Synchronous Condenser 2</t>
  </si>
  <si>
    <t>Battery Energy Storage System 2</t>
  </si>
  <si>
    <t>Emergency Power Generation</t>
  </si>
  <si>
    <t>Emergency Power Substation 1 and Control Room 1</t>
  </si>
  <si>
    <t>36 MVA Power Station 1</t>
  </si>
  <si>
    <t>Bulk Diesel Storage 1</t>
  </si>
  <si>
    <t>Truck Diesel Unloading and Power Station 1</t>
  </si>
  <si>
    <t>Emergency Power Substation 2 and Control Room 2</t>
  </si>
  <si>
    <t>36 MVA Power Station 2</t>
  </si>
  <si>
    <t>Bulk Diesel Storage 2</t>
  </si>
  <si>
    <t>Truck Diesel Unloading and Power Station 2</t>
  </si>
  <si>
    <t>Renewable Energy</t>
  </si>
  <si>
    <t>11/33 kV Solar PV Substation 1 and Control Room 1</t>
  </si>
  <si>
    <t>Power Station 1 Photovoltaic Array, Inverters, and Transformers</t>
  </si>
  <si>
    <t>11/33 kV Solar PV Substation 2 and Control Room 2 (future)</t>
  </si>
  <si>
    <t>Power Station 2 Photovoltaic Array, Inverters, and Transformers  (future)</t>
  </si>
  <si>
    <t>On-Site Rail</t>
  </si>
  <si>
    <t>Embankment &amp; Cuttings</t>
  </si>
  <si>
    <t>Drainage &amp; Culverts</t>
  </si>
  <si>
    <t>Bulk Site Earthworks</t>
  </si>
  <si>
    <t>Detailed Site Earthworks</t>
  </si>
  <si>
    <t>Roads</t>
  </si>
  <si>
    <t>Signaling</t>
  </si>
  <si>
    <t>Site Utilities and Services</t>
  </si>
  <si>
    <t>Fire Water Pump House &amp; Reticulation</t>
  </si>
  <si>
    <t>Fuel Storage</t>
  </si>
  <si>
    <t>Potable Water System</t>
  </si>
  <si>
    <t>Sewage Collection &amp; Distribution</t>
  </si>
  <si>
    <t>Waste Sorting Facility</t>
  </si>
  <si>
    <t>Rail Facilities</t>
  </si>
  <si>
    <t>Incoming Train Covered Inspection Shed</t>
  </si>
  <si>
    <t>Operation Staff Building</t>
  </si>
  <si>
    <t>CuCon Filling Point</t>
  </si>
  <si>
    <t>In-Motion Weighing Bridge + Office</t>
  </si>
  <si>
    <t>Washing Station</t>
  </si>
  <si>
    <t>Wagons and Locomotives Running Shed and Refueling Station</t>
  </si>
  <si>
    <t>Rotainers and Containers Handling and Repairing Platform</t>
  </si>
  <si>
    <t>Comms, IT and Controls</t>
  </si>
  <si>
    <t>Telecommunications</t>
  </si>
  <si>
    <t>CCTV System</t>
  </si>
  <si>
    <t>IT and Systems</t>
  </si>
  <si>
    <t>Control System</t>
  </si>
  <si>
    <t>Rail Electrical</t>
  </si>
  <si>
    <t>Sub-Station</t>
  </si>
  <si>
    <t>Site Wide Area Lighting</t>
  </si>
  <si>
    <t>External Infrastructure</t>
  </si>
  <si>
    <t>RDMC/Fluor/Vec/PRDW</t>
  </si>
  <si>
    <t>Off-Site Infrastructure</t>
  </si>
  <si>
    <t>Off-Site Roads / Water Diversions</t>
  </si>
  <si>
    <t>Site Access Road (45km)</t>
  </si>
  <si>
    <t>Off-Site Facilities</t>
  </si>
  <si>
    <t>RDMC/Fluor/Vec</t>
  </si>
  <si>
    <t>Off-Site Permanent Buildings (Not Accomodation)</t>
  </si>
  <si>
    <t>Off-Site Railways</t>
  </si>
  <si>
    <t>Off-Site Accommodation</t>
  </si>
  <si>
    <t>Off-Site Solid Waste Storage</t>
  </si>
  <si>
    <t>Off-Site Hazardous Waste Storage</t>
  </si>
  <si>
    <t>Site Bulk Road &amp; Bulk Rail Loading</t>
  </si>
  <si>
    <t>Port Qasim Bulk Road &amp; Bulk Rail Unloading</t>
  </si>
  <si>
    <t>Off-Site Mobile Maintenance Equipment</t>
  </si>
  <si>
    <t>Off-Site Utilities Pipelines &amp; Bulk Storage (exclude water)</t>
  </si>
  <si>
    <t>Vecturis/PRDW</t>
  </si>
  <si>
    <t>Off-Site Fuel Pipeline</t>
  </si>
  <si>
    <t>Off-Site Concentrate Pipeline</t>
  </si>
  <si>
    <t>Off-Site Fuel Bulk Storage</t>
  </si>
  <si>
    <t>Vecturis/PR DW</t>
  </si>
  <si>
    <t>Off-Site Concentrate Bulk Storage</t>
  </si>
  <si>
    <t>PRDW</t>
  </si>
  <si>
    <t>Off-Site Effluent Utilities</t>
  </si>
  <si>
    <t>Natural Gas Pipeline &amp; Associated Equipment (K&amp;T)</t>
  </si>
  <si>
    <t>Off-Site Airport Facilities</t>
  </si>
  <si>
    <t>Airport Runways</t>
  </si>
  <si>
    <t>Airport Taxiways</t>
  </si>
  <si>
    <t>Airport Aprons</t>
  </si>
  <si>
    <t>Airport Passenger Terminal Buildings</t>
  </si>
  <si>
    <t>Airport Freight Handling Facilities</t>
  </si>
  <si>
    <t>Airport Facilities &amp; Services</t>
  </si>
  <si>
    <t>Off-Site Water Pipelines &amp; Bulk Storage</t>
  </si>
  <si>
    <t>Off-Site Desalinated Water Pipeline</t>
  </si>
  <si>
    <r>
      <rPr>
        <sz val="10"/>
        <color rgb="FFFF0000"/>
        <rFont val="Aptos Narrow"/>
        <family val="2"/>
      </rPr>
      <t>Off-Site Water Bulk Storage</t>
    </r>
  </si>
  <si>
    <t>Off-Site Hamun-i-Mashkel (HIM) Bore Field</t>
  </si>
  <si>
    <t>Off-Site Borehole Fieldwater Pipeline - Hamun-i-Mashkel (HIM)</t>
  </si>
  <si>
    <t>Off-Site Fan Sediments Bore Field</t>
  </si>
  <si>
    <t>Off-Site Borehole Fieldwater Pipeline - Fan Sediments Main Line</t>
  </si>
  <si>
    <t>Off-Site Borehole Fieldwater Pipeline - Fan Sediments Construction Line</t>
  </si>
  <si>
    <r>
      <rPr>
        <sz val="10"/>
        <color rgb="FFFF0000"/>
        <rFont val="Aptos Narrow"/>
        <family val="2"/>
      </rPr>
      <t>RDMC</t>
    </r>
  </si>
  <si>
    <t>Off-Site Services/Utilities</t>
  </si>
  <si>
    <t>Off-Site Fresh Water Distribution</t>
  </si>
  <si>
    <t>Off-Site Potable Water Distribution</t>
  </si>
  <si>
    <t>Off-Site Acid Rock Drainage (ARD) Water Distribution</t>
  </si>
  <si>
    <t>Off-Site Fire Water Distribution</t>
  </si>
  <si>
    <t>Off-Site Environmental Monitoring</t>
  </si>
  <si>
    <t>Off-Site Communications</t>
  </si>
  <si>
    <t>Off-Site Other Utilities (Compressed Air &amp; Propane, etc.)</t>
  </si>
  <si>
    <t>Off-Site Power Supply &amp; Transmission</t>
  </si>
  <si>
    <t>Switchyard</t>
  </si>
  <si>
    <t>Off-Site Transmission</t>
  </si>
  <si>
    <t>Main Substation</t>
  </si>
  <si>
    <t>Power Generation</t>
  </si>
  <si>
    <t>Off-Site Power Facilities &amp; Services</t>
  </si>
  <si>
    <t>Off-Site Port (Qasim &amp; Gwadar) - (Not in Scope)</t>
  </si>
  <si>
    <t>Port Concentrate Handling</t>
  </si>
  <si>
    <t>Port Copper Concentrate Thickening</t>
  </si>
  <si>
    <t>Port Concentrate Filtration</t>
  </si>
  <si>
    <t>Port Concentrate Conveyor &amp; Handling</t>
  </si>
  <si>
    <t>Port Concentrate Stacking Conveyor</t>
  </si>
  <si>
    <t>Port Concentrate Storage</t>
  </si>
  <si>
    <t>Port Concentrate Emergencg Dump Pond</t>
  </si>
  <si>
    <t>Process Water Treatment</t>
  </si>
  <si>
    <t>Sampling Plant</t>
  </si>
  <si>
    <t>Utilities &amp; Services</t>
  </si>
  <si>
    <t>Port Site Utilities &amp; Services</t>
  </si>
  <si>
    <t>Reagents Handling Facility</t>
  </si>
  <si>
    <t>Utilities Services For Port Conveying Onshore</t>
  </si>
  <si>
    <t>Fuel offloading &amp; Refuelling</t>
  </si>
  <si>
    <t>Fuel Storage &amp; Dispensing</t>
  </si>
  <si>
    <t>Fuel Pipeline</t>
  </si>
  <si>
    <t>Sewage Collection &amp; Treatment</t>
  </si>
  <si>
    <t>Fresh &amp; Fire Water System</t>
  </si>
  <si>
    <t>Port Facilities</t>
  </si>
  <si>
    <t>Port Gwadar Gatehouse</t>
  </si>
  <si>
    <t>Port Gwadar Maintenance Shop</t>
  </si>
  <si>
    <t>Port Gwadar Security Building</t>
  </si>
  <si>
    <t>Port Gwadar Electrical Switchrooms</t>
  </si>
  <si>
    <t>Guardhouse &amp; Security Gate</t>
  </si>
  <si>
    <t>Port Earthworks &amp; Drainage</t>
  </si>
  <si>
    <t>Site Drainage &amp; Culverts</t>
  </si>
  <si>
    <t>Carparks &amp; Hardstand Areas</t>
  </si>
  <si>
    <t>Site Improvements</t>
  </si>
  <si>
    <t>Concentrate Port offshore</t>
  </si>
  <si>
    <t>Navigation &amp; Dredging</t>
  </si>
  <si>
    <t>Berth Structure</t>
  </si>
  <si>
    <t>Shiploading</t>
  </si>
  <si>
    <t>Marine Services</t>
  </si>
  <si>
    <t>Coastal Structures</t>
  </si>
  <si>
    <t>Navigation Aids</t>
  </si>
  <si>
    <t>Mooring Systems</t>
  </si>
  <si>
    <t>LNG Import Terminal</t>
  </si>
  <si>
    <t>Unloading System</t>
  </si>
  <si>
    <t>SWRO Plant</t>
  </si>
  <si>
    <t>Intake System</t>
  </si>
  <si>
    <t>Ro Plant</t>
  </si>
  <si>
    <t>Brine Discharge System</t>
  </si>
  <si>
    <t>Roads &amp; Paving</t>
  </si>
  <si>
    <t>Off-Site Port Qasim - PIBT</t>
  </si>
  <si>
    <t>Site and Soil Improvements</t>
  </si>
  <si>
    <t>Stormwater Piping</t>
  </si>
  <si>
    <t>Services Building</t>
  </si>
  <si>
    <t>Port Qasim PIBT Gatehouse</t>
  </si>
  <si>
    <t>Port Qasim PIBT Workshop &amp; Engineering Offices</t>
  </si>
  <si>
    <t>Port Qasim PIBT Security Building</t>
  </si>
  <si>
    <t>Port Qasim PIBT Weighbridge</t>
  </si>
  <si>
    <t>Port Qasim PIBT Security &amp; Weighbridge Office</t>
  </si>
  <si>
    <t>Port Qasim PIBT Administration Building</t>
  </si>
  <si>
    <t>Port Qasim PIBT Control Room</t>
  </si>
  <si>
    <t>Port Qasim PIBT Sampling &amp; Laboratory</t>
  </si>
  <si>
    <t>Port Qasim PIBT Washdown Facility</t>
  </si>
  <si>
    <t>Truck Discharge Station</t>
  </si>
  <si>
    <t>Port Concentrate Conveyor CV-101 &amp; TR-101</t>
  </si>
  <si>
    <t>Port Concentrate Conveyor CV-102 &amp; TR-102</t>
  </si>
  <si>
    <t>Port Concentrate Port Storage Shed</t>
  </si>
  <si>
    <t>Port Concentrate Conveyor CV-103</t>
  </si>
  <si>
    <t>Port Concentrate Conveyor CV-104 &amp; TR-103</t>
  </si>
  <si>
    <t>Port Concentrate Conveyor CV-105 &amp; TR-104</t>
  </si>
  <si>
    <t>PIBT Port Handling Upgrade</t>
  </si>
  <si>
    <t>Conveyor Galleries &amp; Structures</t>
  </si>
  <si>
    <t>Port Concentrate Offshore</t>
  </si>
  <si>
    <t>Port Comms, IT and Controls</t>
  </si>
  <si>
    <t>CCTV and Security System</t>
  </si>
  <si>
    <t>Port Handling Control System</t>
  </si>
  <si>
    <t>IT</t>
  </si>
  <si>
    <t>Port Electrical</t>
  </si>
  <si>
    <t>Sub Station 1</t>
  </si>
  <si>
    <t>Sub Station 2</t>
  </si>
  <si>
    <t>Sub Station 3</t>
  </si>
  <si>
    <t>PIBT Karachi Electric Substation</t>
  </si>
  <si>
    <t>HV Reticulation</t>
  </si>
  <si>
    <t>PIBT Port Generator</t>
  </si>
  <si>
    <t>Off-Site Rail Facilities</t>
  </si>
  <si>
    <t>Earthworks &amp; Drainage</t>
  </si>
  <si>
    <r>
      <rPr>
        <sz val="10"/>
        <color rgb="FF00CC00"/>
        <rFont val="Aptos Narrow"/>
        <family val="2"/>
      </rPr>
      <t>Bulk Site Earthworks</t>
    </r>
  </si>
  <si>
    <r>
      <rPr>
        <sz val="10"/>
        <color rgb="FF00CC00"/>
        <rFont val="Aptos Narrow"/>
        <family val="2"/>
      </rPr>
      <t>Site Drainage &amp; Culverts</t>
    </r>
  </si>
  <si>
    <r>
      <rPr>
        <sz val="10"/>
        <color rgb="FF00CC00"/>
        <rFont val="Aptos Narrow"/>
        <family val="2"/>
      </rPr>
      <t>In-Plant Roads</t>
    </r>
  </si>
  <si>
    <r>
      <rPr>
        <sz val="10"/>
        <color rgb="FF00CC00"/>
        <rFont val="Aptos Narrow"/>
        <family val="2"/>
      </rPr>
      <t>Carparks &amp; Hardstand Areas</t>
    </r>
  </si>
  <si>
    <r>
      <rPr>
        <sz val="10"/>
        <color rgb="FF00CC00"/>
        <rFont val="Aptos Narrow"/>
        <family val="2"/>
      </rPr>
      <t>Site and Soil Improvements</t>
    </r>
  </si>
  <si>
    <r>
      <rPr>
        <sz val="10"/>
        <color rgb="FF00CC00"/>
        <rFont val="Aptos Narrow"/>
        <family val="2"/>
      </rPr>
      <t>Site Security Fencing</t>
    </r>
  </si>
  <si>
    <r>
      <rPr>
        <sz val="10"/>
        <color rgb="FF00CC00"/>
        <rFont val="Aptos Narrow"/>
        <family val="2"/>
      </rPr>
      <t>Underground Services</t>
    </r>
  </si>
  <si>
    <r>
      <rPr>
        <sz val="10"/>
        <color rgb="FF00CC00"/>
        <rFont val="Aptos Narrow"/>
        <family val="2"/>
      </rPr>
      <t>Stormwater Piping</t>
    </r>
  </si>
  <si>
    <r>
      <rPr>
        <sz val="10"/>
        <color rgb="FF00CC00"/>
        <rFont val="Aptos Narrow"/>
        <family val="2"/>
      </rPr>
      <t>Fire Water Storage</t>
    </r>
  </si>
  <si>
    <r>
      <rPr>
        <sz val="10"/>
        <color rgb="FF00CC00"/>
        <rFont val="Aptos Narrow"/>
        <family val="2"/>
      </rPr>
      <t>Fire Water Pump House &amp; Reticulation</t>
    </r>
  </si>
  <si>
    <r>
      <rPr>
        <sz val="10"/>
        <color rgb="FF00CC00"/>
        <rFont val="Aptos Narrow"/>
        <family val="2"/>
      </rPr>
      <t>Fuel Storage &amp; Dispensing</t>
    </r>
  </si>
  <si>
    <r>
      <rPr>
        <sz val="10"/>
        <color rgb="FF00CC00"/>
        <rFont val="Aptos Narrow"/>
        <family val="2"/>
      </rPr>
      <t>Potable Water System</t>
    </r>
  </si>
  <si>
    <r>
      <rPr>
        <sz val="10"/>
        <color rgb="FF00CC00"/>
        <rFont val="Aptos Narrow"/>
        <family val="2"/>
      </rPr>
      <t>Sewage Collection &amp; Treatment</t>
    </r>
  </si>
  <si>
    <r>
      <rPr>
        <sz val="10"/>
        <color rgb="FF00CC00"/>
        <rFont val="Aptos Narrow"/>
        <family val="2"/>
      </rPr>
      <t>Waste Sorting Facility</t>
    </r>
  </si>
  <si>
    <r>
      <rPr>
        <sz val="10"/>
        <color rgb="FF00CC00"/>
        <rFont val="Aptos Narrow"/>
        <family val="2"/>
      </rPr>
      <t>Telecommunications</t>
    </r>
  </si>
  <si>
    <r>
      <rPr>
        <sz val="10"/>
        <color rgb="FF00CC00"/>
        <rFont val="Aptos Narrow"/>
        <family val="2"/>
      </rPr>
      <t>Signaling</t>
    </r>
  </si>
  <si>
    <t>Infrastructure and Systems</t>
  </si>
  <si>
    <r>
      <rPr>
        <sz val="10"/>
        <color rgb="FF00CC00"/>
        <rFont val="Aptos Narrow"/>
        <family val="2"/>
      </rPr>
      <t>Maintenance Yard Sidings</t>
    </r>
  </si>
  <si>
    <r>
      <rPr>
        <sz val="10"/>
        <color rgb="FF00CC00"/>
        <rFont val="Aptos Narrow"/>
        <family val="2"/>
      </rPr>
      <t>Operation Sidings</t>
    </r>
  </si>
  <si>
    <r>
      <rPr>
        <sz val="10"/>
        <color rgb="FF00CC00"/>
        <rFont val="Aptos Narrow"/>
        <family val="2"/>
      </rPr>
      <t>CCTV System</t>
    </r>
  </si>
  <si>
    <r>
      <rPr>
        <sz val="10"/>
        <color rgb="FF00CC00"/>
        <rFont val="Aptos Narrow"/>
        <family val="2"/>
      </rPr>
      <t>IT and Systems</t>
    </r>
  </si>
  <si>
    <r>
      <rPr>
        <sz val="10"/>
        <color rgb="FF00CC00"/>
        <rFont val="Aptos Narrow"/>
        <family val="2"/>
      </rPr>
      <t>Control System</t>
    </r>
  </si>
  <si>
    <r>
      <rPr>
        <sz val="10"/>
        <color rgb="FF00CC00"/>
        <rFont val="Aptos Narrow"/>
        <family val="2"/>
      </rPr>
      <t>ML-3 Upgrade Works</t>
    </r>
  </si>
  <si>
    <r>
      <rPr>
        <sz val="10"/>
        <color rgb="FF00CC00"/>
        <rFont val="Aptos Narrow"/>
        <family val="2"/>
      </rPr>
      <t>Rolling Stock Maintenance Facility</t>
    </r>
  </si>
  <si>
    <r>
      <rPr>
        <sz val="10"/>
        <color rgb="FF00CC00"/>
        <rFont val="Aptos Narrow"/>
        <family val="2"/>
      </rPr>
      <t>Rolling Stock Refueling Station</t>
    </r>
  </si>
  <si>
    <t>Operational Facilities Port</t>
  </si>
  <si>
    <r>
      <rPr>
        <sz val="10"/>
        <color rgb="FF00CC00"/>
        <rFont val="Aptos Narrow"/>
        <family val="2"/>
      </rPr>
      <t>Incoming Train Covered Inspection Shed</t>
    </r>
  </si>
  <si>
    <r>
      <rPr>
        <sz val="10"/>
        <color rgb="FF00CC00"/>
        <rFont val="Aptos Narrow"/>
        <family val="2"/>
      </rPr>
      <t>Operation Staff Building</t>
    </r>
  </si>
  <si>
    <r>
      <rPr>
        <sz val="10"/>
        <color rgb="FF00CC00"/>
        <rFont val="Aptos Narrow"/>
        <family val="2"/>
      </rPr>
      <t>In-Motion Weighing Bridge + Weight Bridge Office</t>
    </r>
  </si>
  <si>
    <r>
      <rPr>
        <sz val="10"/>
        <color rgb="FF00CC00"/>
        <rFont val="Aptos Narrow"/>
        <family val="2"/>
      </rPr>
      <t>Reagents FIBC Management Platform</t>
    </r>
  </si>
  <si>
    <r>
      <rPr>
        <sz val="10"/>
        <color rgb="FF00CC00"/>
        <rFont val="Aptos Narrow"/>
        <family val="2"/>
      </rPr>
      <t>Rotainers Management Platform</t>
    </r>
  </si>
  <si>
    <r>
      <rPr>
        <sz val="10"/>
        <color rgb="FF00CC00"/>
        <rFont val="Aptos Narrow"/>
        <family val="2"/>
      </rPr>
      <t>Tank Containers, Containers and IBC Management Platform</t>
    </r>
  </si>
  <si>
    <r>
      <rPr>
        <sz val="10"/>
        <color rgb="FF00CC00"/>
        <rFont val="Aptos Narrow"/>
        <family val="2"/>
      </rPr>
      <t>Canteen, Drivers’ Dorm and Training Rooms Building</t>
    </r>
  </si>
  <si>
    <r>
      <rPr>
        <sz val="10"/>
        <color rgb="FF00CC00"/>
        <rFont val="Aptos Narrow"/>
        <family val="2"/>
      </rPr>
      <t>CuCon Security + Weight Bridge Office</t>
    </r>
  </si>
  <si>
    <r>
      <rPr>
        <sz val="10"/>
        <color rgb="FF00CC00"/>
        <rFont val="Aptos Narrow"/>
        <family val="2"/>
      </rPr>
      <t>Truck Access Gate + Truck Weight Bridge</t>
    </r>
  </si>
  <si>
    <t>Maintenance Facilities Port</t>
  </si>
  <si>
    <r>
      <rPr>
        <sz val="10"/>
        <color rgb="FF00CC00"/>
        <rFont val="Aptos Narrow"/>
        <family val="2"/>
      </rPr>
      <t>Shunting Locomotives Parking Garage</t>
    </r>
  </si>
  <si>
    <r>
      <rPr>
        <sz val="10"/>
        <color rgb="FF00CC00"/>
        <rFont val="Aptos Narrow"/>
        <family val="2"/>
      </rPr>
      <t>Locomotives &amp; Wagons Wash Station</t>
    </r>
  </si>
  <si>
    <r>
      <rPr>
        <sz val="10"/>
        <color rgb="FF00CC00"/>
        <rFont val="Aptos Narrow"/>
        <family val="2"/>
      </rPr>
      <t>Wagons And Locomotives Paint Booth</t>
    </r>
  </si>
  <si>
    <r>
      <rPr>
        <sz val="10"/>
        <color rgb="FF00CC00"/>
        <rFont val="Aptos Narrow"/>
        <family val="2"/>
      </rPr>
      <t>Underfloor Wheel Lathe</t>
    </r>
  </si>
  <si>
    <r>
      <rPr>
        <sz val="10"/>
        <color rgb="FF00CC00"/>
        <rFont val="Aptos Narrow"/>
        <family val="2"/>
      </rPr>
      <t>Fuel Storage</t>
    </r>
  </si>
  <si>
    <r>
      <rPr>
        <sz val="10"/>
        <color rgb="FF00CC00"/>
        <rFont val="Aptos Narrow"/>
        <family val="2"/>
      </rPr>
      <t>Pre-inpection and Refuelling shed</t>
    </r>
  </si>
  <si>
    <r>
      <rPr>
        <sz val="10"/>
        <color rgb="FF00CC00"/>
        <rFont val="Aptos Narrow"/>
        <family val="2"/>
      </rPr>
      <t>Major Assemblies and Spare Parts Store</t>
    </r>
  </si>
  <si>
    <r>
      <rPr>
        <sz val="10"/>
        <color rgb="FF00CC00"/>
        <rFont val="Aptos Narrow"/>
        <family val="2"/>
      </rPr>
      <t>Main Maintenance Workshop</t>
    </r>
  </si>
  <si>
    <t>Spur Line &amp; Main line</t>
  </si>
  <si>
    <r>
      <rPr>
        <sz val="10"/>
        <color rgb="FF00CC00"/>
        <rFont val="Aptos Narrow"/>
        <family val="2"/>
      </rPr>
      <t>Permanent Way</t>
    </r>
  </si>
  <si>
    <r>
      <rPr>
        <sz val="10"/>
        <color rgb="FF00CC00"/>
        <rFont val="Aptos Narrow"/>
        <family val="2"/>
      </rPr>
      <t>Koh-i-Dalil Station</t>
    </r>
  </si>
  <si>
    <r>
      <rPr>
        <sz val="10"/>
        <color rgb="FF00CC00"/>
        <rFont val="Aptos Narrow"/>
        <family val="2"/>
      </rPr>
      <t>Reko Diq Terminal Station</t>
    </r>
  </si>
  <si>
    <r>
      <rPr>
        <sz val="10"/>
        <color rgb="FF00CC00"/>
        <rFont val="Aptos Narrow"/>
        <family val="2"/>
      </rPr>
      <t>Engineering Structures</t>
    </r>
  </si>
  <si>
    <r>
      <rPr>
        <sz val="10"/>
        <color rgb="FF00CC00"/>
        <rFont val="Aptos Narrow"/>
        <family val="2"/>
      </rPr>
      <t>Level Crossings</t>
    </r>
  </si>
  <si>
    <r>
      <rPr>
        <sz val="10"/>
        <color rgb="FF00CC00"/>
        <rFont val="Aptos Narrow"/>
        <family val="2"/>
      </rPr>
      <t>Electrical and Power</t>
    </r>
  </si>
  <si>
    <t>Temporary Loading Facility</t>
  </si>
  <si>
    <r>
      <rPr>
        <sz val="10"/>
        <color rgb="FF00CC00"/>
        <rFont val="Aptos Narrow"/>
        <family val="2"/>
      </rPr>
      <t>In-motion Weighing Bridge + Office</t>
    </r>
  </si>
  <si>
    <r>
      <rPr>
        <sz val="10"/>
        <color rgb="FF00CC00"/>
        <rFont val="Aptos Narrow"/>
        <family val="2"/>
      </rPr>
      <t>Washing Station</t>
    </r>
  </si>
  <si>
    <r>
      <rPr>
        <sz val="10"/>
        <color rgb="FF00CC00"/>
        <rFont val="Aptos Narrow"/>
        <family val="2"/>
      </rPr>
      <t>Wagons and Locomotives Running Shed + Refueling Station</t>
    </r>
  </si>
  <si>
    <r>
      <rPr>
        <sz val="10"/>
        <color rgb="FF00CC00"/>
        <rFont val="Aptos Narrow"/>
        <family val="2"/>
      </rPr>
      <t>Rotainers and Containers Handling and Repairing Platform</t>
    </r>
  </si>
  <si>
    <r>
      <rPr>
        <sz val="10"/>
        <color rgb="FF00CC00"/>
        <rFont val="Aptos Narrow"/>
        <family val="2"/>
      </rPr>
      <t>Fencing and Gates</t>
    </r>
  </si>
  <si>
    <r>
      <rPr>
        <sz val="10"/>
        <color rgb="FF00CC00"/>
        <rFont val="Aptos Narrow"/>
        <family val="2"/>
      </rPr>
      <t>Power Supply and Distribution</t>
    </r>
  </si>
  <si>
    <t>Rolling Stock</t>
  </si>
  <si>
    <r>
      <rPr>
        <sz val="10"/>
        <color rgb="FF00CC00"/>
        <rFont val="Aptos Narrow"/>
        <family val="2"/>
      </rPr>
      <t>Main Line ocomotives</t>
    </r>
  </si>
  <si>
    <r>
      <rPr>
        <sz val="10"/>
        <color rgb="FF00CC00"/>
        <rFont val="Aptos Narrow"/>
        <family val="2"/>
      </rPr>
      <t>Shunting Locomotives</t>
    </r>
  </si>
  <si>
    <r>
      <rPr>
        <sz val="10"/>
        <color rgb="FF00CC00"/>
        <rFont val="Aptos Narrow"/>
        <family val="2"/>
      </rPr>
      <t>Wagons</t>
    </r>
  </si>
  <si>
    <r>
      <rPr>
        <sz val="10"/>
        <color rgb="FF00CC00"/>
        <rFont val="Aptos Narrow"/>
        <family val="2"/>
      </rPr>
      <t>Rotainers</t>
    </r>
  </si>
  <si>
    <r>
      <rPr>
        <sz val="10"/>
        <color rgb="FF00CC00"/>
        <rFont val="Aptos Narrow"/>
        <family val="2"/>
      </rPr>
      <t>Tanktainers</t>
    </r>
  </si>
  <si>
    <r>
      <rPr>
        <sz val="10"/>
        <color rgb="FF00CC00"/>
        <rFont val="Aptos Narrow"/>
        <family val="2"/>
      </rPr>
      <t>Shipping Containers</t>
    </r>
  </si>
  <si>
    <r>
      <rPr>
        <sz val="10"/>
        <color rgb="FF00CC00"/>
        <rFont val="Aptos Narrow"/>
        <family val="2"/>
      </rPr>
      <t>Mobile Equipment</t>
    </r>
  </si>
  <si>
    <t>Electrical Port</t>
  </si>
  <si>
    <r>
      <rPr>
        <sz val="10"/>
        <color rgb="FF00CC00"/>
        <rFont val="Aptos Narrow"/>
        <family val="2"/>
      </rPr>
      <t>Sub-station</t>
    </r>
  </si>
  <si>
    <r>
      <rPr>
        <sz val="10"/>
        <color rgb="FF00CC00"/>
        <rFont val="Aptos Narrow"/>
        <family val="2"/>
      </rPr>
      <t>Site Wide Area Lighting</t>
    </r>
  </si>
  <si>
    <t>Indirect Costs (Owner)</t>
  </si>
  <si>
    <t>Owner's Costs (Common Construction Facilities and Services)</t>
  </si>
  <si>
    <t>Project Costs</t>
  </si>
  <si>
    <t>Project Management</t>
  </si>
  <si>
    <t>Project Controls</t>
  </si>
  <si>
    <t>Engineering and Procurement</t>
  </si>
  <si>
    <t>Construction Management</t>
  </si>
  <si>
    <t>Legal and Permitting</t>
  </si>
  <si>
    <t>Public Relations</t>
  </si>
  <si>
    <t>Community Engagement</t>
  </si>
  <si>
    <t>Spares and Inventory</t>
  </si>
  <si>
    <t>Spares</t>
  </si>
  <si>
    <t>First Fills</t>
  </si>
  <si>
    <t>Pre-Production Operations</t>
  </si>
  <si>
    <t>Recruitment and Training of Operation and Maintenance Staff</t>
  </si>
  <si>
    <t>Mobile Fleet Supporting Operations</t>
  </si>
  <si>
    <t>Wet Commissioning</t>
  </si>
  <si>
    <t>Post-Commissioning Modifications</t>
  </si>
  <si>
    <t>Ramp-Up</t>
  </si>
  <si>
    <t>Working Capital</t>
  </si>
  <si>
    <t>Studies</t>
  </si>
  <si>
    <t>Closure and Rehabilitation</t>
  </si>
  <si>
    <t>Health Security and Safety</t>
  </si>
  <si>
    <t>Clinic</t>
  </si>
  <si>
    <t>Emergency Response</t>
  </si>
  <si>
    <t>Safety</t>
  </si>
  <si>
    <t>Operational Readiness</t>
  </si>
  <si>
    <t>Owner’s Management</t>
  </si>
  <si>
    <t>Team</t>
  </si>
  <si>
    <t>Nonmanual Labour Expenses</t>
  </si>
  <si>
    <t>Home Office Expenses</t>
  </si>
  <si>
    <t>Project Office Expenses</t>
  </si>
  <si>
    <t>Site Office Expenses</t>
  </si>
  <si>
    <t>Allowance (Early Works)</t>
  </si>
  <si>
    <t>Contingency and Reserve</t>
  </si>
  <si>
    <t>Cost Contingency</t>
  </si>
  <si>
    <t>Schedule Contingency</t>
  </si>
  <si>
    <t>Owner Cost Reserve</t>
  </si>
  <si>
    <t>Indirect Costs (Other Parties)</t>
  </si>
  <si>
    <t>Indirect Costs (Implementation Contractors, EPCM)</t>
  </si>
  <si>
    <t>EPCM Cost</t>
  </si>
  <si>
    <t>EP Cost</t>
  </si>
  <si>
    <t>CM Cost</t>
  </si>
  <si>
    <t>Vendor Field Representatives</t>
  </si>
  <si>
    <t>Miscellaneous Engineering, Construction Management Services Costs</t>
  </si>
  <si>
    <t>Temporary Facilities</t>
  </si>
  <si>
    <t>Offices and Support Buildings</t>
  </si>
  <si>
    <t>Warehouse and Yards</t>
  </si>
  <si>
    <t>Shelters</t>
  </si>
  <si>
    <t>Aggregate and Concrete</t>
  </si>
  <si>
    <t>Water System</t>
  </si>
  <si>
    <t>Fuel Stations</t>
  </si>
  <si>
    <t>Temporary Services</t>
  </si>
  <si>
    <t>Power</t>
  </si>
  <si>
    <t>Maintenance and Cleanup</t>
  </si>
  <si>
    <t>Personnel Transportation</t>
  </si>
  <si>
    <t>Survey, Inspection, and Quality Control</t>
  </si>
  <si>
    <t>Medical and Security</t>
  </si>
  <si>
    <t>Heating</t>
  </si>
  <si>
    <t>Fuel Supply</t>
  </si>
  <si>
    <t>Water, Sewage, and Waste Disposal</t>
  </si>
  <si>
    <t>Other Functions</t>
  </si>
  <si>
    <t>Construction Equipment</t>
  </si>
  <si>
    <t>Cranes</t>
  </si>
  <si>
    <t>Vehicles</t>
  </si>
  <si>
    <t>Specialty Equipment</t>
  </si>
  <si>
    <t>Environmental, Safety, and Health</t>
  </si>
  <si>
    <t>Environmental</t>
  </si>
  <si>
    <t>Health</t>
  </si>
  <si>
    <t>Temporary Camp and Catering</t>
  </si>
  <si>
    <t>Facilities</t>
  </si>
  <si>
    <t>Catering</t>
  </si>
  <si>
    <t>Freight / Traffic Warehouse Services and Logistics</t>
  </si>
  <si>
    <t>Offshore Inland Freight</t>
  </si>
  <si>
    <t>Marine Transportation</t>
  </si>
  <si>
    <t>Onshore Inland Freight</t>
  </si>
  <si>
    <t>Air Freight</t>
  </si>
  <si>
    <t>Brokerage and Agent Fees</t>
  </si>
  <si>
    <t>Import Duties</t>
  </si>
  <si>
    <t>Warehousing Service</t>
  </si>
  <si>
    <t>Commissioning</t>
  </si>
  <si>
    <t>Owners Team</t>
  </si>
  <si>
    <t>EPCM</t>
  </si>
  <si>
    <t>Contractor Support</t>
  </si>
  <si>
    <t>DISCIPLINE CODES</t>
  </si>
  <si>
    <t xml:space="preserve">Code </t>
  </si>
  <si>
    <t xml:space="preserve">Discipline/Function Identifier </t>
  </si>
  <si>
    <t>Architectural</t>
  </si>
  <si>
    <t>Civil/Concrete</t>
  </si>
  <si>
    <t>D</t>
  </si>
  <si>
    <t>Supply Chain</t>
  </si>
  <si>
    <t>F</t>
  </si>
  <si>
    <t>Process</t>
  </si>
  <si>
    <t>Health &amp; Safety / Security</t>
  </si>
  <si>
    <t>I</t>
  </si>
  <si>
    <t>Instrumentation</t>
  </si>
  <si>
    <t>J</t>
  </si>
  <si>
    <t>Environmental / Social Impact</t>
  </si>
  <si>
    <t>L</t>
  </si>
  <si>
    <t>Human Resources</t>
  </si>
  <si>
    <t>Mechanical</t>
  </si>
  <si>
    <t>N</t>
  </si>
  <si>
    <t>P</t>
  </si>
  <si>
    <t>Piping</t>
  </si>
  <si>
    <t>Q</t>
  </si>
  <si>
    <t>Quality &amp; Control / HAZOP / HAZID / Risk</t>
  </si>
  <si>
    <t>S</t>
  </si>
  <si>
    <t>Structural</t>
  </si>
  <si>
    <t>T</t>
  </si>
  <si>
    <t>Geotechnical</t>
  </si>
  <si>
    <t>U</t>
  </si>
  <si>
    <t>Pipeline</t>
  </si>
  <si>
    <t>W</t>
  </si>
  <si>
    <t>Earthworks / Drainage / Fencing / Roads / Water</t>
  </si>
  <si>
    <t>Document and Drawing Types</t>
  </si>
  <si>
    <r>
      <t>Code</t>
    </r>
    <r>
      <rPr>
        <sz val="9"/>
        <color rgb="FFFFFFFF"/>
        <rFont val="Arial"/>
        <family val="2"/>
      </rPr>
      <t xml:space="preserve"> </t>
    </r>
  </si>
  <si>
    <r>
      <t>Document Type identifier</t>
    </r>
    <r>
      <rPr>
        <sz val="9"/>
        <color rgb="FFFFFFFF"/>
        <rFont val="Arial"/>
        <family val="2"/>
      </rPr>
      <t xml:space="preserve"> </t>
    </r>
  </si>
  <si>
    <t>Description</t>
  </si>
  <si>
    <t>GENERAL</t>
  </si>
  <si>
    <t>AUT</t>
  </si>
  <si>
    <t>Authority</t>
  </si>
  <si>
    <t>BLT</t>
  </si>
  <si>
    <t>Battery Limit</t>
  </si>
  <si>
    <t>- Battery Limit Table</t>
  </si>
  <si>
    <t>BOE</t>
  </si>
  <si>
    <t>Basis of Estimate</t>
  </si>
  <si>
    <t>BOS</t>
  </si>
  <si>
    <t>Basis of Schedule</t>
  </si>
  <si>
    <t>BOM</t>
  </si>
  <si>
    <t>Bill of Material</t>
  </si>
  <si>
    <t>CHR</t>
  </si>
  <si>
    <t>Chart</t>
  </si>
  <si>
    <t>Organization Chart, Department Chart</t>
  </si>
  <si>
    <t>CON</t>
  </si>
  <si>
    <t>Contract</t>
  </si>
  <si>
    <t>Any contract documentation</t>
  </si>
  <si>
    <t>DBD</t>
  </si>
  <si>
    <t>Design Basis and Criteria</t>
  </si>
  <si>
    <t>Design Criteria of the Project</t>
  </si>
  <si>
    <t>DBK</t>
  </si>
  <si>
    <t>Project Data Book</t>
  </si>
  <si>
    <t>- Manufacturer Data Records</t>
  </si>
  <si>
    <t>DDR</t>
  </si>
  <si>
    <t>Document and Data Register</t>
  </si>
  <si>
    <t>Master Data and Document Register for Supplier, Sub-Contractors</t>
  </si>
  <si>
    <t>DEM</t>
  </si>
  <si>
    <t>Demolition</t>
  </si>
  <si>
    <t>Demolition Documents</t>
  </si>
  <si>
    <t>Data (Digital Record)</t>
  </si>
  <si>
    <t>Any data e.g. Survey Data</t>
  </si>
  <si>
    <t>Specific list for equipments</t>
  </si>
  <si>
    <t>EST</t>
  </si>
  <si>
    <t>Estimates</t>
  </si>
  <si>
    <t>EXE</t>
  </si>
  <si>
    <t>Execution</t>
  </si>
  <si>
    <t>Can be used for Supplier Data - if not specify on the list</t>
  </si>
  <si>
    <t>FRM</t>
  </si>
  <si>
    <t>Forms</t>
  </si>
  <si>
    <t>GDL</t>
  </si>
  <si>
    <t>Guideline</t>
  </si>
  <si>
    <t>- Guideline
- Protocols</t>
  </si>
  <si>
    <t>HAC</t>
  </si>
  <si>
    <t>Hazard Classification</t>
  </si>
  <si>
    <t>HAZOP, Hazard Analysis, Hazard identification</t>
  </si>
  <si>
    <t>HMB</t>
  </si>
  <si>
    <t>Heat Material Balance</t>
  </si>
  <si>
    <t>Technical and Non-technical</t>
  </si>
  <si>
    <t>e.g. operation instructions, installation instructions</t>
  </si>
  <si>
    <t>ITP</t>
  </si>
  <si>
    <t>Inspection Test Plan</t>
  </si>
  <si>
    <t>IWP</t>
  </si>
  <si>
    <t>Installation Work Package</t>
  </si>
  <si>
    <t>LST</t>
  </si>
  <si>
    <t>List/Matrix</t>
  </si>
  <si>
    <t>Technical List:
Valve List, Motor List, Instrument List, Spare Part List
Non-Technical List:
Distribution Matrix, Communication Matrix</t>
  </si>
  <si>
    <t>LTR</t>
  </si>
  <si>
    <t>Letter</t>
  </si>
  <si>
    <t>MAN</t>
  </si>
  <si>
    <t>Manual</t>
  </si>
  <si>
    <t>MDL</t>
  </si>
  <si>
    <t>Models</t>
  </si>
  <si>
    <t>- 3Models</t>
  </si>
  <si>
    <t>MDR</t>
  </si>
  <si>
    <t>Master Document Register</t>
  </si>
  <si>
    <t>Document Register for Engineering
- Documentation System Description
- Document Filing Index
- Transmittal Log
- Gate Review Completed</t>
  </si>
  <si>
    <t>MEM</t>
  </si>
  <si>
    <t>Memorandum</t>
  </si>
  <si>
    <t>MOM</t>
  </si>
  <si>
    <t>Minutes of Meeting</t>
  </si>
  <si>
    <t>NAR</t>
  </si>
  <si>
    <t>Narrative</t>
  </si>
  <si>
    <t>- Process Control Narrative
- Safeguarding Narrative</t>
  </si>
  <si>
    <t>NCR</t>
  </si>
  <si>
    <t>Non-Conformance Report</t>
  </si>
  <si>
    <t>PCN</t>
  </si>
  <si>
    <t>Project Change Notice</t>
  </si>
  <si>
    <t>PDR</t>
  </si>
  <si>
    <t>Procedure Deviation Request</t>
  </si>
  <si>
    <t>PHL</t>
  </si>
  <si>
    <t>Philosophy</t>
  </si>
  <si>
    <t>DOCUMENTS</t>
  </si>
  <si>
    <t>PCK</t>
  </si>
  <si>
    <t>Pack</t>
  </si>
  <si>
    <t>Pack consisting out of Cover Page, Index, GA, SCH and Parts List.</t>
  </si>
  <si>
    <t>Plan</t>
  </si>
  <si>
    <t>Used for non-technical plan i.e. Engineering Plan, Risk Plan, HSE Plan, Contract &amp; Procurement Plan, HR plan, Project Execution Plan, Study Plan. etc.</t>
  </si>
  <si>
    <t>PLC</t>
  </si>
  <si>
    <t>Policy</t>
  </si>
  <si>
    <t>PRC</t>
  </si>
  <si>
    <t>Procedure</t>
  </si>
  <si>
    <t>Document represents the procedure as prescribed by the various departments. The practices generally relate to the way in which work is to be done within or for the department and also the approved way in which the Company deals with Contractors, and other organizations</t>
  </si>
  <si>
    <t>PRO</t>
  </si>
  <si>
    <t>Procurement</t>
  </si>
  <si>
    <t>Any procurement documentation</t>
  </si>
  <si>
    <t>QAD</t>
  </si>
  <si>
    <t>Quality Assurance Documents</t>
  </si>
  <si>
    <t>Any quality assurance documents.
Except Quality Management Plan can use PLN</t>
  </si>
  <si>
    <t>QRA</t>
  </si>
  <si>
    <t>Quantitive Risk Assessment</t>
  </si>
  <si>
    <t>Structured approach to measuring and analyzing risk using numerical data</t>
  </si>
  <si>
    <t>REQ</t>
  </si>
  <si>
    <t>Request</t>
  </si>
  <si>
    <t>- Travel request
- Any requests</t>
  </si>
  <si>
    <t>RFA</t>
  </si>
  <si>
    <t>Recommendation for Award</t>
  </si>
  <si>
    <t>RFI</t>
  </si>
  <si>
    <t>Request for Information</t>
  </si>
  <si>
    <t>Technical Report:
Geotechnical Investigation Report, , etc.
Non-technical Report:
Safety Monthly report</t>
  </si>
  <si>
    <t>SCH</t>
  </si>
  <si>
    <t>Schedule</t>
  </si>
  <si>
    <t>SMP</t>
  </si>
  <si>
    <t>Sample</t>
  </si>
  <si>
    <t>- Interior Design and Furniture Sample - Finish Boards</t>
  </si>
  <si>
    <t>SOP</t>
  </si>
  <si>
    <t>Standard Operating Procedure</t>
  </si>
  <si>
    <t>SOW</t>
  </si>
  <si>
    <t>Scope of Work</t>
  </si>
  <si>
    <t>Document outlines the extent of work to be performed by others. The SOW may include functional specifications when a functional specification is not written which typically occurs when the contents of a functional specification is minimal (2 pages).</t>
  </si>
  <si>
    <t>Document represents the design and performance requirements for materials, parts, plant and equipment</t>
  </si>
  <si>
    <t>SPL</t>
  </si>
  <si>
    <t>Piping Specialty Item List</t>
  </si>
  <si>
    <t>STD</t>
  </si>
  <si>
    <t>Standards</t>
  </si>
  <si>
    <t>For any standards, codes, and regulation documents, are generally controlled</t>
  </si>
  <si>
    <t>STR</t>
  </si>
  <si>
    <t>Strategy</t>
  </si>
  <si>
    <t>SUM</t>
  </si>
  <si>
    <t>Summary</t>
  </si>
  <si>
    <t>TDM</t>
  </si>
  <si>
    <t>Technical Decision Memorandum</t>
  </si>
  <si>
    <t>TDN</t>
  </si>
  <si>
    <t>Trends</t>
  </si>
  <si>
    <t>Project Controls Trends</t>
  </si>
  <si>
    <t>TMP</t>
  </si>
  <si>
    <t>Templates</t>
  </si>
  <si>
    <t>TOR</t>
  </si>
  <si>
    <t>Terms of Reference</t>
  </si>
  <si>
    <t>TRP</t>
  </si>
  <si>
    <t>Test Report</t>
  </si>
  <si>
    <t>- Concrete test report
- Any test report
- Soil test report
- Non-Destruction Examination Test Report
- Any Test Report</t>
  </si>
  <si>
    <t>TVR</t>
  </si>
  <si>
    <t>Turnover Dossier</t>
  </si>
  <si>
    <t>VIS</t>
  </si>
  <si>
    <t>Visualisation</t>
  </si>
  <si>
    <t>- Drone Video</t>
  </si>
  <si>
    <t>WLD</t>
  </si>
  <si>
    <t>Welding</t>
  </si>
  <si>
    <t>Any welding documents</t>
  </si>
  <si>
    <t>DRAWINGS</t>
  </si>
  <si>
    <t>CAE</t>
  </si>
  <si>
    <t>- Battery Limit Drawings</t>
  </si>
  <si>
    <t>CRV</t>
  </si>
  <si>
    <t>Cause and Effect Drawing</t>
  </si>
  <si>
    <t>- Cause and Effect Drawing, etc.</t>
  </si>
  <si>
    <t>Curves</t>
  </si>
  <si>
    <t>DIA</t>
  </si>
  <si>
    <t>Demolition Drawings</t>
  </si>
  <si>
    <t>DID</t>
  </si>
  <si>
    <t>Diagram</t>
  </si>
  <si>
    <t>- Traffic Diagram
- Schematic Diagram
- Block Diagram</t>
  </si>
  <si>
    <t>Ducting and Instrument Diagram</t>
  </si>
  <si>
    <t>HVAC Utility Piping Ducting and Instrumentation Diagram</t>
  </si>
  <si>
    <t>EHT</t>
  </si>
  <si>
    <t>Any drawings details</t>
  </si>
  <si>
    <t>ELE</t>
  </si>
  <si>
    <t>Electrical Heat Tracing Isometric</t>
  </si>
  <si>
    <t>Elevation</t>
  </si>
  <si>
    <t>Any drawings elevation</t>
  </si>
  <si>
    <t>GAD</t>
  </si>
  <si>
    <t>Foundation Drawings</t>
  </si>
  <si>
    <t>Any foundation drawings</t>
  </si>
  <si>
    <t>ITD</t>
  </si>
  <si>
    <t>General Arrangement</t>
  </si>
  <si>
    <t>Any general arrangements drawings</t>
  </si>
  <si>
    <t>ISO</t>
  </si>
  <si>
    <t>Instrumentation Drawing</t>
  </si>
  <si>
    <t>Isometrics</t>
  </si>
  <si>
    <t>Drawing provides a three-dimensional layout of the equipment and piping.</t>
  </si>
  <si>
    <t>MSD</t>
  </si>
  <si>
    <t>Any drawings layout</t>
  </si>
  <si>
    <t>PFD</t>
  </si>
  <si>
    <t>Material Selection Diagram</t>
  </si>
  <si>
    <t>PID</t>
  </si>
  <si>
    <t>Process Flow Diagram</t>
  </si>
  <si>
    <t>Piping and Instrumentation Diagram</t>
  </si>
  <si>
    <t>PPL</t>
  </si>
  <si>
    <t>Any drawings plan</t>
  </si>
  <si>
    <t>PSP</t>
  </si>
  <si>
    <t>Plot Plan</t>
  </si>
  <si>
    <t>Site Plot Plan</t>
  </si>
  <si>
    <t>SEC</t>
  </si>
  <si>
    <t>Piping Support</t>
  </si>
  <si>
    <t>Drawing piping support.</t>
  </si>
  <si>
    <t>SHP</t>
  </si>
  <si>
    <t>Section</t>
  </si>
  <si>
    <t>Any drawings section</t>
  </si>
  <si>
    <t>SKT</t>
  </si>
  <si>
    <t>Shop Drawings</t>
  </si>
  <si>
    <t>Supplier Shop Drawings
- Fabrication Drawings
- Fabrication Steel Drawings
- Erection Drawings
- Plate Schedule
- Spool Drawings
- etc.</t>
  </si>
  <si>
    <t>Sketch</t>
  </si>
  <si>
    <t>Any drawings sketch</t>
  </si>
  <si>
    <t>Drawing provides a representation of an electrical system.</t>
  </si>
  <si>
    <t>Engineering (Design)</t>
  </si>
  <si>
    <t>TIE</t>
  </si>
  <si>
    <t>Standard Drawings</t>
  </si>
  <si>
    <t>Drawing shows the materials, set out standard construction details and provide general design data.</t>
  </si>
  <si>
    <t>Tie-In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</si>
</sst>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Red]0"/>
    <numFmt numFmtId="166" formatCode="d/mm/yyyy;@"/>
    <numFmt numFmtId="167" formatCode="dd\.mm\.yyyy;@"/>
  </numFmts>
  <fonts count="44">
    <font>
      <sz val="11"/>
      <color theme="1"/>
      <name val="Aptos Narrow"/>
      <family val="2"/>
      <scheme val="minor"/>
    </font>
    <font>
      <sz val="11"/>
      <color theme="1"/>
      <name val="Century Gothic"/>
      <family val="2"/>
    </font>
    <font>
      <sz val="10"/>
      <color theme="1"/>
      <name val="Aptos Narrow"/>
      <family val="2"/>
      <scheme val="minor"/>
    </font>
    <font>
      <sz val="11"/>
      <color theme="1"/>
      <name val="Aptos Narrow"/>
      <family val="2"/>
      <scheme val="minor"/>
    </font>
    <font>
      <sz val="9"/>
      <color theme="1"/>
      <name val="Arial"/>
      <family val="2"/>
    </font>
    <font>
      <b/>
      <sz val="9"/>
      <color rgb="FFFFFFFF"/>
      <name val="Arial"/>
      <family val="2"/>
    </font>
    <font>
      <sz val="9"/>
      <color rgb="FFFFFFFF"/>
      <name val="Arial"/>
      <family val="2"/>
    </font>
    <font>
      <sz val="9"/>
      <color rgb="FF000000"/>
      <name val="Arial"/>
      <family val="2"/>
    </font>
    <font>
      <sz val="11"/>
      <color rgb="FF000000"/>
      <name val="Arial"/>
      <family val="2"/>
    </font>
    <font>
      <sz val="8"/>
      <name val="Aptos Narrow"/>
      <family val="2"/>
      <scheme val="minor"/>
    </font>
    <font>
      <sz val="10"/>
      <color rgb="FF000000"/>
      <name val="Calibri"/>
      <family val="2"/>
    </font>
    <font>
      <b/>
      <sz val="10"/>
      <color theme="0"/>
      <name val="Aptos Narrow"/>
      <family val="2"/>
      <scheme val="minor"/>
    </font>
    <font>
      <sz val="9"/>
      <name val="Arial"/>
      <family val="2"/>
    </font>
    <font>
      <b/>
      <sz val="20"/>
      <color theme="0"/>
      <name val="Arial"/>
      <family val="2"/>
    </font>
    <font>
      <sz val="11"/>
      <color theme="1"/>
      <name val="Arial"/>
      <family val="2"/>
    </font>
    <font>
      <sz val="10"/>
      <name val="Calibri"/>
      <family val="2"/>
    </font>
    <font>
      <sz val="10"/>
      <color rgb="FFFFFFFF"/>
      <name val="Calibri"/>
      <family val="2"/>
    </font>
    <font>
      <b/>
      <sz val="10"/>
      <color theme="1"/>
      <name val="Aptos Narrow"/>
      <family val="2"/>
      <scheme val="minor"/>
    </font>
    <font>
      <sz val="11"/>
      <name val="Arial"/>
      <family val="2"/>
    </font>
    <font>
      <b/>
      <sz val="11"/>
      <color theme="0"/>
      <name val="Arial"/>
      <family val="2"/>
    </font>
    <font>
      <b/>
      <sz val="12"/>
      <name val="Arial"/>
      <family val="2"/>
    </font>
    <font>
      <b/>
      <sz val="12"/>
      <color theme="1"/>
      <name val="Arial"/>
      <family val="2"/>
    </font>
    <font>
      <sz val="10"/>
      <color rgb="FF000000"/>
      <name val="Times New Roman"/>
      <family val="1"/>
    </font>
    <font>
      <sz val="10"/>
      <color rgb="FF000000"/>
      <name val="Aptos Narrow"/>
      <family val="2"/>
    </font>
    <font>
      <b/>
      <sz val="10"/>
      <name val="Aptos Narrow"/>
      <family val="2"/>
    </font>
    <font>
      <b/>
      <sz val="10"/>
      <color rgb="FFFFFFFF"/>
      <name val="Aptos Narrow"/>
      <family val="2"/>
    </font>
    <font>
      <b/>
      <sz val="10"/>
      <color rgb="FFBEBEBE"/>
      <name val="Aptos Narrow"/>
      <family val="2"/>
    </font>
    <font>
      <b/>
      <sz val="10"/>
      <color rgb="FF000000"/>
      <name val="Aptos Narrow"/>
      <family val="2"/>
    </font>
    <font>
      <sz val="10"/>
      <color rgb="FFBEBEBE"/>
      <name val="Aptos Narrow"/>
      <family val="2"/>
    </font>
    <font>
      <sz val="10"/>
      <name val="Aptos Narrow"/>
      <family val="2"/>
    </font>
    <font>
      <b/>
      <sz val="10"/>
      <color rgb="FFFF0000"/>
      <name val="Aptos Narrow"/>
      <family val="2"/>
    </font>
    <font>
      <sz val="10"/>
      <color rgb="FFFF0000"/>
      <name val="Aptos Narrow"/>
      <family val="2"/>
    </font>
    <font>
      <b/>
      <sz val="10"/>
      <color rgb="FF9C5600"/>
      <name val="Aptos Narrow"/>
      <family val="2"/>
    </font>
    <font>
      <sz val="10"/>
      <color rgb="FF9C5600"/>
      <name val="Aptos Narrow"/>
      <family val="2"/>
    </font>
    <font>
      <strike/>
      <sz val="10"/>
      <color rgb="FFFF0000"/>
      <name val="Aptos Narrow"/>
      <family val="2"/>
    </font>
    <font>
      <sz val="10"/>
      <color rgb="FF00CC00"/>
      <name val="Aptos Narrow"/>
      <family val="2"/>
    </font>
    <font>
      <sz val="10"/>
      <color rgb="FFFF0000"/>
      <name val="Aptos Narrow"/>
      <family val="2"/>
      <scheme val="minor"/>
    </font>
    <font>
      <sz val="10"/>
      <name val="Aptos Narrow"/>
      <family val="2"/>
      <scheme val="minor"/>
    </font>
    <font>
      <b/>
      <sz val="20"/>
      <color theme="0"/>
      <name val="Aptos Narrow"/>
      <family val="2"/>
      <scheme val="minor"/>
    </font>
    <font>
      <sz val="11"/>
      <color rgb="FF000000"/>
      <name val="Century Gothic"/>
      <family val="2"/>
    </font>
    <font>
      <sz val="10"/>
      <color rgb="FF000000"/>
      <name val="Aptos Narrow"/>
      <family val="2"/>
      <scheme val="minor"/>
    </font>
    <font>
      <sz val="11"/>
      <color rgb="FF242424"/>
      <name val="Aptos Narrow"/>
      <family val="2"/>
    </font>
    <font>
      <strike/>
      <sz val="10"/>
      <color theme="1"/>
      <name val="Aptos Narrow"/>
      <family val="2"/>
      <scheme val="minor"/>
    </font>
    <font>
      <sz val="10"/>
      <color theme="1"/>
      <name val="Aptos Narrow"/>
      <scheme val="minor"/>
    </font>
  </fonts>
  <fills count="17">
    <fill>
      <patternFill patternType="none"/>
    </fill>
    <fill>
      <patternFill patternType="gray125"/>
    </fill>
    <fill>
      <patternFill patternType="solid">
        <fgColor rgb="FF00557E"/>
      </patternFill>
    </fill>
    <fill>
      <patternFill patternType="solid">
        <fgColor rgb="FFA39161"/>
      </patternFill>
    </fill>
    <fill>
      <patternFill patternType="solid">
        <fgColor rgb="FF000000"/>
      </patternFill>
    </fill>
    <fill>
      <patternFill patternType="solid">
        <fgColor rgb="FF00557E"/>
        <bgColor indexed="64"/>
      </patternFill>
    </fill>
    <fill>
      <patternFill patternType="solid">
        <fgColor rgb="FFA39161"/>
        <bgColor indexed="64"/>
      </patternFill>
    </fill>
    <fill>
      <patternFill patternType="solid">
        <fgColor rgb="FFFFEB9C"/>
      </patternFill>
    </fill>
    <fill>
      <patternFill patternType="solid">
        <fgColor rgb="FF001F5F"/>
      </patternFill>
    </fill>
    <fill>
      <patternFill patternType="solid">
        <fgColor rgb="FFB4C5E7"/>
      </patternFill>
    </fill>
    <fill>
      <patternFill patternType="solid">
        <fgColor rgb="FFF8CAAC"/>
      </patternFill>
    </fill>
    <fill>
      <patternFill patternType="solid">
        <fgColor rgb="FFDBDBDB"/>
      </patternFill>
    </fill>
    <fill>
      <patternFill patternType="solid">
        <fgColor theme="2" tint="-0.749992370372631"/>
        <bgColor indexed="64"/>
      </patternFill>
    </fill>
    <fill>
      <patternFill patternType="solid">
        <fgColor theme="4" tint="-0.249977111117893"/>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theme="4" tint="0.79998168889431442"/>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theme="1"/>
      </left>
      <right style="thin">
        <color theme="1"/>
      </right>
      <top style="thin">
        <color theme="1"/>
      </top>
      <bottom style="thin">
        <color theme="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6">
    <xf numFmtId="0" fontId="0" fillId="0" borderId="0"/>
    <xf numFmtId="0" fontId="3" fillId="0" borderId="0"/>
    <xf numFmtId="0" fontId="1" fillId="0" borderId="0"/>
    <xf numFmtId="0" fontId="1" fillId="0" borderId="0"/>
    <xf numFmtId="0" fontId="22" fillId="0" borderId="0"/>
    <xf numFmtId="9" fontId="3" fillId="0" borderId="0" applyFont="0" applyFill="0" applyBorder="0" applyAlignment="0" applyProtection="0"/>
  </cellStyleXfs>
  <cellXfs count="213">
    <xf numFmtId="0" fontId="0" fillId="0" borderId="0" xfId="0"/>
    <xf numFmtId="0" fontId="4" fillId="0" borderId="0" xfId="1" applyFont="1" applyAlignment="1">
      <alignment horizontal="center" wrapText="1"/>
    </xf>
    <xf numFmtId="0" fontId="13" fillId="0" borderId="0" xfId="1" applyFont="1" applyAlignment="1">
      <alignment horizontal="center" vertical="center"/>
    </xf>
    <xf numFmtId="0" fontId="7" fillId="0" borderId="0" xfId="0" applyFont="1" applyAlignment="1">
      <alignment vertical="center"/>
    </xf>
    <xf numFmtId="0" fontId="1" fillId="0" borderId="0" xfId="2"/>
    <xf numFmtId="0" fontId="14" fillId="0" borderId="0" xfId="2" applyFont="1" applyAlignment="1">
      <alignment horizontal="center"/>
    </xf>
    <xf numFmtId="0" fontId="12" fillId="0" borderId="0" xfId="1" applyFont="1" applyAlignment="1">
      <alignment wrapText="1"/>
    </xf>
    <xf numFmtId="0" fontId="4" fillId="0" borderId="0" xfId="1" applyFont="1" applyAlignment="1">
      <alignment wrapText="1"/>
    </xf>
    <xf numFmtId="0" fontId="4" fillId="0" borderId="0" xfId="1"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14" fontId="2" fillId="0" borderId="1" xfId="0" applyNumberFormat="1" applyFont="1" applyBorder="1" applyAlignment="1">
      <alignment horizontal="center" vertical="center"/>
    </xf>
    <xf numFmtId="0" fontId="10" fillId="0" borderId="7" xfId="0" applyFont="1" applyBorder="1" applyAlignment="1">
      <alignment vertical="center"/>
    </xf>
    <xf numFmtId="0" fontId="10" fillId="0" borderId="9" xfId="0" applyFont="1" applyBorder="1" applyAlignment="1">
      <alignment vertical="center"/>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6" fillId="0" borderId="0" xfId="0" applyFont="1" applyAlignment="1">
      <alignment vertical="center"/>
    </xf>
    <xf numFmtId="0" fontId="10" fillId="0" borderId="14" xfId="0" applyFont="1" applyBorder="1" applyAlignment="1">
      <alignment horizontal="center" vertical="center" wrapText="1"/>
    </xf>
    <xf numFmtId="0" fontId="10" fillId="0" borderId="2" xfId="0" applyFont="1" applyBorder="1" applyAlignment="1">
      <alignment vertical="center"/>
    </xf>
    <xf numFmtId="0" fontId="15" fillId="3" borderId="18" xfId="1" applyFont="1" applyFill="1" applyBorder="1" applyAlignment="1">
      <alignment horizontal="center" vertical="center" wrapText="1"/>
    </xf>
    <xf numFmtId="0" fontId="15" fillId="3" borderId="19" xfId="1" applyFont="1" applyFill="1" applyBorder="1" applyAlignment="1">
      <alignment horizontal="center" vertical="center" wrapText="1"/>
    </xf>
    <xf numFmtId="0" fontId="16" fillId="0" borderId="0" xfId="1" applyFont="1" applyAlignment="1">
      <alignment horizontal="center" wrapText="1"/>
    </xf>
    <xf numFmtId="0" fontId="18" fillId="0" borderId="1" xfId="1" applyFont="1" applyBorder="1" applyAlignment="1">
      <alignment horizontal="center" vertical="center"/>
    </xf>
    <xf numFmtId="49" fontId="18" fillId="0" borderId="1" xfId="1" applyNumberFormat="1" applyFont="1" applyBorder="1" applyAlignment="1">
      <alignment horizontal="center" vertical="center"/>
    </xf>
    <xf numFmtId="0" fontId="18" fillId="0" borderId="1" xfId="0" applyFont="1" applyBorder="1" applyAlignment="1">
      <alignment horizontal="center" vertical="center" wrapText="1"/>
    </xf>
    <xf numFmtId="0" fontId="19" fillId="4" borderId="1" xfId="1" applyFont="1" applyFill="1" applyBorder="1" applyAlignment="1">
      <alignment horizontal="center" vertical="center"/>
    </xf>
    <xf numFmtId="0" fontId="4" fillId="0" borderId="1" xfId="1"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vertical="center"/>
    </xf>
    <xf numFmtId="0" fontId="5" fillId="2" borderId="1" xfId="1" applyFont="1" applyFill="1" applyBorder="1" applyAlignment="1">
      <alignment horizontal="center" vertical="center" wrapText="1"/>
    </xf>
    <xf numFmtId="0" fontId="7" fillId="0" borderId="1" xfId="1" applyFont="1" applyBorder="1" applyAlignment="1">
      <alignment horizontal="center" vertical="center" wrapText="1"/>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21" xfId="0" applyFont="1" applyBorder="1" applyAlignment="1">
      <alignment horizontal="center" vertical="center"/>
    </xf>
    <xf numFmtId="0" fontId="7" fillId="0" borderId="0" xfId="1" applyFont="1" applyAlignment="1">
      <alignment horizontal="center" vertical="center" wrapText="1"/>
    </xf>
    <xf numFmtId="0" fontId="23" fillId="4" borderId="22" xfId="4" applyFont="1" applyFill="1" applyBorder="1" applyAlignment="1">
      <alignment horizontal="center" vertical="center" wrapText="1"/>
    </xf>
    <xf numFmtId="0" fontId="23" fillId="4" borderId="23" xfId="4" applyFont="1" applyFill="1" applyBorder="1" applyAlignment="1">
      <alignment horizontal="center" vertical="center" wrapText="1"/>
    </xf>
    <xf numFmtId="0" fontId="24" fillId="8" borderId="22" xfId="4" applyFont="1" applyFill="1" applyBorder="1" applyAlignment="1">
      <alignment horizontal="center" vertical="center" wrapText="1"/>
    </xf>
    <xf numFmtId="0" fontId="23" fillId="0" borderId="0" xfId="4" applyFont="1" applyAlignment="1">
      <alignment horizontal="center" vertical="center"/>
    </xf>
    <xf numFmtId="0" fontId="24" fillId="4" borderId="25" xfId="4" applyFont="1" applyFill="1" applyBorder="1" applyAlignment="1">
      <alignment horizontal="center" vertical="center" wrapText="1"/>
    </xf>
    <xf numFmtId="0" fontId="24" fillId="4" borderId="26" xfId="4" applyFont="1" applyFill="1" applyBorder="1" applyAlignment="1">
      <alignment horizontal="center" vertical="center" wrapText="1"/>
    </xf>
    <xf numFmtId="0" fontId="24" fillId="8" borderId="25" xfId="4" applyFont="1" applyFill="1" applyBorder="1" applyAlignment="1">
      <alignment horizontal="center" vertical="center" wrapText="1"/>
    </xf>
    <xf numFmtId="1" fontId="27" fillId="9" borderId="4" xfId="4" applyNumberFormat="1" applyFont="1" applyFill="1" applyBorder="1" applyAlignment="1">
      <alignment horizontal="center" vertical="center" shrinkToFit="1"/>
    </xf>
    <xf numFmtId="164" fontId="27" fillId="9" borderId="4" xfId="4" applyNumberFormat="1" applyFont="1" applyFill="1" applyBorder="1" applyAlignment="1">
      <alignment horizontal="center" vertical="center" shrinkToFit="1"/>
    </xf>
    <xf numFmtId="0" fontId="24" fillId="9" borderId="29" xfId="4" applyFont="1" applyFill="1" applyBorder="1" applyAlignment="1">
      <alignment horizontal="center" vertical="center" wrapText="1"/>
    </xf>
    <xf numFmtId="0" fontId="24" fillId="9" borderId="4" xfId="4" applyFont="1" applyFill="1" applyBorder="1" applyAlignment="1">
      <alignment horizontal="center" vertical="center" wrapText="1"/>
    </xf>
    <xf numFmtId="1" fontId="27" fillId="10" borderId="4" xfId="4" applyNumberFormat="1" applyFont="1" applyFill="1" applyBorder="1" applyAlignment="1">
      <alignment horizontal="center" vertical="center" shrinkToFit="1"/>
    </xf>
    <xf numFmtId="164" fontId="27" fillId="10" borderId="4" xfId="4" applyNumberFormat="1" applyFont="1" applyFill="1" applyBorder="1" applyAlignment="1">
      <alignment horizontal="center" vertical="center" shrinkToFit="1"/>
    </xf>
    <xf numFmtId="0" fontId="24" fillId="10" borderId="29" xfId="4" applyFont="1" applyFill="1" applyBorder="1" applyAlignment="1">
      <alignment horizontal="center" vertical="center" wrapText="1"/>
    </xf>
    <xf numFmtId="0" fontId="24" fillId="10" borderId="4" xfId="4" applyFont="1" applyFill="1" applyBorder="1" applyAlignment="1">
      <alignment horizontal="center" vertical="center" wrapText="1"/>
    </xf>
    <xf numFmtId="0" fontId="23" fillId="10" borderId="29" xfId="4" applyFont="1" applyFill="1" applyBorder="1" applyAlignment="1">
      <alignment horizontal="center" vertical="center" wrapText="1"/>
    </xf>
    <xf numFmtId="0" fontId="23" fillId="10" borderId="4" xfId="4" applyFont="1" applyFill="1" applyBorder="1" applyAlignment="1">
      <alignment horizontal="center" vertical="center" wrapText="1"/>
    </xf>
    <xf numFmtId="1" fontId="27" fillId="11" borderId="4" xfId="4" applyNumberFormat="1" applyFont="1" applyFill="1" applyBorder="1" applyAlignment="1">
      <alignment horizontal="center" vertical="center" shrinkToFit="1"/>
    </xf>
    <xf numFmtId="0" fontId="24" fillId="11" borderId="29" xfId="4" applyFont="1" applyFill="1" applyBorder="1" applyAlignment="1">
      <alignment horizontal="center" vertical="center" wrapText="1"/>
    </xf>
    <xf numFmtId="0" fontId="24" fillId="11" borderId="4" xfId="4" applyFont="1" applyFill="1" applyBorder="1" applyAlignment="1">
      <alignment horizontal="center" vertical="center" wrapText="1"/>
    </xf>
    <xf numFmtId="1" fontId="28" fillId="0" borderId="5" xfId="4" applyNumberFormat="1" applyFont="1" applyBorder="1" applyAlignment="1">
      <alignment horizontal="center" vertical="center" shrinkToFit="1"/>
    </xf>
    <xf numFmtId="1" fontId="23" fillId="0" borderId="5" xfId="4" applyNumberFormat="1" applyFont="1" applyBorder="1" applyAlignment="1">
      <alignment horizontal="center" vertical="center" shrinkToFit="1"/>
    </xf>
    <xf numFmtId="0" fontId="29" fillId="0" borderId="22" xfId="4" applyFont="1" applyBorder="1" applyAlignment="1">
      <alignment horizontal="center" vertical="center" wrapText="1"/>
    </xf>
    <xf numFmtId="0" fontId="29" fillId="0" borderId="5" xfId="4" applyFont="1" applyBorder="1" applyAlignment="1">
      <alignment horizontal="center" vertical="center" wrapText="1"/>
    </xf>
    <xf numFmtId="1" fontId="28" fillId="0" borderId="30" xfId="4" applyNumberFormat="1" applyFont="1" applyBorder="1" applyAlignment="1">
      <alignment horizontal="center" vertical="center" shrinkToFit="1"/>
    </xf>
    <xf numFmtId="1" fontId="23" fillId="0" borderId="30" xfId="4" applyNumberFormat="1" applyFont="1" applyBorder="1" applyAlignment="1">
      <alignment horizontal="center" vertical="center" shrinkToFit="1"/>
    </xf>
    <xf numFmtId="0" fontId="29" fillId="0" borderId="31" xfId="4" applyFont="1" applyBorder="1" applyAlignment="1">
      <alignment horizontal="center" vertical="center" wrapText="1"/>
    </xf>
    <xf numFmtId="0" fontId="29" fillId="0" borderId="30" xfId="4" applyFont="1" applyBorder="1" applyAlignment="1">
      <alignment horizontal="center" vertical="center" wrapText="1"/>
    </xf>
    <xf numFmtId="1" fontId="28" fillId="0" borderId="28" xfId="4" applyNumberFormat="1" applyFont="1" applyBorder="1" applyAlignment="1">
      <alignment horizontal="center" vertical="center" shrinkToFit="1"/>
    </xf>
    <xf numFmtId="1" fontId="23" fillId="0" borderId="28" xfId="4" applyNumberFormat="1" applyFont="1" applyBorder="1" applyAlignment="1">
      <alignment horizontal="center" vertical="center" shrinkToFit="1"/>
    </xf>
    <xf numFmtId="0" fontId="29" fillId="0" borderId="25" xfId="4" applyFont="1" applyBorder="1" applyAlignment="1">
      <alignment horizontal="center" vertical="center" wrapText="1"/>
    </xf>
    <xf numFmtId="0" fontId="29" fillId="0" borderId="28" xfId="4" applyFont="1" applyBorder="1" applyAlignment="1">
      <alignment horizontal="center" vertical="center" wrapText="1"/>
    </xf>
    <xf numFmtId="0" fontId="29" fillId="0" borderId="29" xfId="4" applyFont="1" applyBorder="1" applyAlignment="1">
      <alignment horizontal="center" vertical="center" wrapText="1"/>
    </xf>
    <xf numFmtId="0" fontId="23" fillId="11" borderId="29" xfId="4" applyFont="1" applyFill="1" applyBorder="1" applyAlignment="1">
      <alignment horizontal="center" vertical="center" wrapText="1"/>
    </xf>
    <xf numFmtId="0" fontId="23" fillId="11" borderId="4" xfId="4" applyFont="1" applyFill="1" applyBorder="1" applyAlignment="1">
      <alignment horizontal="center" vertical="center" wrapText="1"/>
    </xf>
    <xf numFmtId="0" fontId="23" fillId="0" borderId="22" xfId="4" applyFont="1" applyBorder="1" applyAlignment="1">
      <alignment horizontal="center" vertical="center" wrapText="1"/>
    </xf>
    <xf numFmtId="0" fontId="23" fillId="0" borderId="5" xfId="4" applyFont="1" applyBorder="1" applyAlignment="1">
      <alignment horizontal="center" vertical="center" wrapText="1"/>
    </xf>
    <xf numFmtId="0" fontId="23" fillId="0" borderId="31" xfId="4" applyFont="1" applyBorder="1" applyAlignment="1">
      <alignment horizontal="center" vertical="center" wrapText="1"/>
    </xf>
    <xf numFmtId="0" fontId="23" fillId="0" borderId="30" xfId="4" applyFont="1" applyBorder="1" applyAlignment="1">
      <alignment horizontal="center" vertical="center" wrapText="1"/>
    </xf>
    <xf numFmtId="0" fontId="23" fillId="0" borderId="25" xfId="4" applyFont="1" applyBorder="1" applyAlignment="1">
      <alignment horizontal="center" vertical="center" wrapText="1"/>
    </xf>
    <xf numFmtId="0" fontId="24" fillId="7" borderId="29" xfId="4" applyFont="1" applyFill="1" applyBorder="1" applyAlignment="1">
      <alignment horizontal="center" vertical="center" wrapText="1"/>
    </xf>
    <xf numFmtId="0" fontId="24" fillId="7" borderId="4" xfId="4" applyFont="1" applyFill="1" applyBorder="1" applyAlignment="1">
      <alignment horizontal="center" vertical="center" wrapText="1"/>
    </xf>
    <xf numFmtId="165" fontId="31" fillId="0" borderId="30" xfId="4" applyNumberFormat="1" applyFont="1" applyBorder="1" applyAlignment="1">
      <alignment horizontal="center" vertical="center" shrinkToFit="1"/>
    </xf>
    <xf numFmtId="0" fontId="29" fillId="7" borderId="22" xfId="4" applyFont="1" applyFill="1" applyBorder="1" applyAlignment="1">
      <alignment horizontal="center" vertical="center" wrapText="1"/>
    </xf>
    <xf numFmtId="0" fontId="29" fillId="7" borderId="5" xfId="4" applyFont="1" applyFill="1" applyBorder="1" applyAlignment="1">
      <alignment horizontal="center" vertical="center" wrapText="1"/>
    </xf>
    <xf numFmtId="0" fontId="29" fillId="7" borderId="31" xfId="4" applyFont="1" applyFill="1" applyBorder="1" applyAlignment="1">
      <alignment horizontal="center" vertical="center" wrapText="1"/>
    </xf>
    <xf numFmtId="0" fontId="29" fillId="7" borderId="30" xfId="4" applyFont="1" applyFill="1" applyBorder="1" applyAlignment="1">
      <alignment horizontal="center" vertical="center" wrapText="1"/>
    </xf>
    <xf numFmtId="0" fontId="29" fillId="7" borderId="25" xfId="4" applyFont="1" applyFill="1" applyBorder="1" applyAlignment="1">
      <alignment horizontal="center" vertical="center" wrapText="1"/>
    </xf>
    <xf numFmtId="0" fontId="29" fillId="7" borderId="28" xfId="4" applyFont="1" applyFill="1" applyBorder="1" applyAlignment="1">
      <alignment horizontal="center" vertical="center" wrapText="1"/>
    </xf>
    <xf numFmtId="0" fontId="23" fillId="9" borderId="29" xfId="4" applyFont="1" applyFill="1" applyBorder="1" applyAlignment="1">
      <alignment horizontal="center" vertical="center" wrapText="1"/>
    </xf>
    <xf numFmtId="0" fontId="23" fillId="9" borderId="4" xfId="4" applyFont="1" applyFill="1" applyBorder="1" applyAlignment="1">
      <alignment horizontal="center" vertical="center" wrapText="1"/>
    </xf>
    <xf numFmtId="165" fontId="31" fillId="0" borderId="28" xfId="4" applyNumberFormat="1" applyFont="1" applyBorder="1" applyAlignment="1">
      <alignment horizontal="center" vertical="center" shrinkToFit="1"/>
    </xf>
    <xf numFmtId="0" fontId="23" fillId="0" borderId="29" xfId="4" applyFont="1" applyBorder="1" applyAlignment="1">
      <alignment horizontal="center" vertical="center" wrapText="1"/>
    </xf>
    <xf numFmtId="1" fontId="27" fillId="9" borderId="29" xfId="4" applyNumberFormat="1" applyFont="1" applyFill="1" applyBorder="1" applyAlignment="1">
      <alignment horizontal="center" vertical="center" shrinkToFit="1"/>
    </xf>
    <xf numFmtId="1" fontId="27" fillId="11" borderId="29" xfId="4" applyNumberFormat="1" applyFont="1" applyFill="1" applyBorder="1" applyAlignment="1">
      <alignment horizontal="center" vertical="center" shrinkToFit="1"/>
    </xf>
    <xf numFmtId="1" fontId="27" fillId="10" borderId="29" xfId="4" applyNumberFormat="1" applyFont="1" applyFill="1" applyBorder="1" applyAlignment="1">
      <alignment horizontal="center" vertical="center" shrinkToFit="1"/>
    </xf>
    <xf numFmtId="1" fontId="28" fillId="0" borderId="22" xfId="4" applyNumberFormat="1" applyFont="1" applyBorder="1" applyAlignment="1">
      <alignment horizontal="center" vertical="center" shrinkToFit="1"/>
    </xf>
    <xf numFmtId="1" fontId="28" fillId="0" borderId="31" xfId="4" applyNumberFormat="1" applyFont="1" applyBorder="1" applyAlignment="1">
      <alignment horizontal="center" vertical="center" shrinkToFit="1"/>
    </xf>
    <xf numFmtId="1" fontId="28" fillId="0" borderId="25" xfId="4" applyNumberFormat="1" applyFont="1" applyBorder="1" applyAlignment="1">
      <alignment horizontal="center" vertical="center" shrinkToFit="1"/>
    </xf>
    <xf numFmtId="0" fontId="23" fillId="0" borderId="0" xfId="4" applyFont="1" applyAlignment="1">
      <alignment vertical="center"/>
    </xf>
    <xf numFmtId="0" fontId="29" fillId="0" borderId="22" xfId="4" applyFont="1" applyBorder="1" applyAlignment="1">
      <alignment vertical="center" wrapText="1"/>
    </xf>
    <xf numFmtId="0" fontId="29" fillId="0" borderId="31" xfId="4" applyFont="1" applyBorder="1" applyAlignment="1">
      <alignment vertical="center" wrapText="1"/>
    </xf>
    <xf numFmtId="0" fontId="24" fillId="11" borderId="29" xfId="4" applyFont="1" applyFill="1" applyBorder="1" applyAlignment="1">
      <alignment vertical="center" wrapText="1"/>
    </xf>
    <xf numFmtId="0" fontId="29" fillId="0" borderId="25" xfId="4" applyFont="1" applyBorder="1" applyAlignment="1">
      <alignment vertical="center" wrapText="1"/>
    </xf>
    <xf numFmtId="0" fontId="24" fillId="10" borderId="29" xfId="4" applyFont="1" applyFill="1" applyBorder="1" applyAlignment="1">
      <alignment vertical="center" wrapText="1"/>
    </xf>
    <xf numFmtId="0" fontId="24" fillId="9" borderId="29" xfId="4" applyFont="1" applyFill="1" applyBorder="1" applyAlignment="1">
      <alignment vertical="center" wrapText="1"/>
    </xf>
    <xf numFmtId="0" fontId="24" fillId="8" borderId="22" xfId="4" applyFont="1" applyFill="1" applyBorder="1" applyAlignment="1">
      <alignment vertical="center" wrapText="1"/>
    </xf>
    <xf numFmtId="0" fontId="24" fillId="8" borderId="25" xfId="4" applyFont="1" applyFill="1" applyBorder="1" applyAlignment="1">
      <alignment vertical="center" wrapText="1"/>
    </xf>
    <xf numFmtId="1" fontId="28" fillId="0" borderId="29" xfId="4" applyNumberFormat="1" applyFont="1" applyBorder="1" applyAlignment="1">
      <alignment horizontal="center" vertical="center" shrinkToFit="1"/>
    </xf>
    <xf numFmtId="1" fontId="14" fillId="0" borderId="1" xfId="0" applyNumberFormat="1" applyFont="1" applyBorder="1" applyAlignment="1">
      <alignment horizontal="center" vertical="center" shrinkToFit="1"/>
    </xf>
    <xf numFmtId="0" fontId="14" fillId="0" borderId="1" xfId="1" applyFont="1" applyBorder="1" applyAlignment="1">
      <alignment horizontal="center" vertical="center"/>
    </xf>
    <xf numFmtId="49" fontId="8" fillId="0" borderId="1" xfId="0" applyNumberFormat="1" applyFont="1" applyBorder="1" applyAlignment="1">
      <alignment horizontal="center" vertical="center" shrinkToFit="1"/>
    </xf>
    <xf numFmtId="0" fontId="17" fillId="0" borderId="0" xfId="0" applyFont="1" applyAlignment="1">
      <alignment horizontal="center" vertical="center"/>
    </xf>
    <xf numFmtId="14" fontId="2" fillId="0" borderId="21" xfId="0" applyNumberFormat="1" applyFont="1" applyBorder="1" applyAlignment="1">
      <alignment horizontal="center" vertical="center"/>
    </xf>
    <xf numFmtId="0" fontId="36" fillId="0" borderId="21" xfId="0" applyFont="1" applyBorder="1" applyAlignment="1">
      <alignment horizontal="center" vertical="center"/>
    </xf>
    <xf numFmtId="49" fontId="2" fillId="0" borderId="21" xfId="0" applyNumberFormat="1" applyFont="1" applyBorder="1" applyAlignment="1">
      <alignment horizontal="center" vertical="center"/>
    </xf>
    <xf numFmtId="49" fontId="2" fillId="0" borderId="0" xfId="0" applyNumberFormat="1" applyFont="1" applyAlignment="1">
      <alignment horizontal="center" vertical="center"/>
    </xf>
    <xf numFmtId="166" fontId="2" fillId="0" borderId="1" xfId="0" applyNumberFormat="1" applyFont="1" applyBorder="1" applyAlignment="1">
      <alignment horizontal="center" vertical="center"/>
    </xf>
    <xf numFmtId="166" fontId="2" fillId="0" borderId="3" xfId="0" applyNumberFormat="1" applyFont="1" applyBorder="1" applyAlignment="1">
      <alignment horizontal="center" vertical="center"/>
    </xf>
    <xf numFmtId="166" fontId="2" fillId="0" borderId="21" xfId="0" applyNumberFormat="1" applyFont="1" applyBorder="1" applyAlignment="1">
      <alignment horizontal="center" vertical="center"/>
    </xf>
    <xf numFmtId="166" fontId="36" fillId="0" borderId="21" xfId="0" applyNumberFormat="1" applyFont="1" applyBorder="1" applyAlignment="1">
      <alignment horizontal="center" vertical="center"/>
    </xf>
    <xf numFmtId="166" fontId="2" fillId="0" borderId="0" xfId="0" applyNumberFormat="1" applyFont="1" applyAlignment="1">
      <alignment horizontal="center" vertical="center"/>
    </xf>
    <xf numFmtId="9" fontId="2" fillId="0" borderId="1" xfId="5" applyFont="1" applyBorder="1" applyAlignment="1">
      <alignment horizontal="center" vertical="center"/>
    </xf>
    <xf numFmtId="9" fontId="2" fillId="0" borderId="21" xfId="5" applyFont="1" applyBorder="1" applyAlignment="1">
      <alignment horizontal="center" vertical="center"/>
    </xf>
    <xf numFmtId="9" fontId="2" fillId="0" borderId="0" xfId="5" applyFont="1" applyAlignment="1">
      <alignment horizontal="center" vertical="center"/>
    </xf>
    <xf numFmtId="0" fontId="0" fillId="0" borderId="0" xfId="0" pivotButton="1"/>
    <xf numFmtId="9" fontId="0" fillId="0" borderId="0" xfId="0" applyNumberFormat="1"/>
    <xf numFmtId="0" fontId="37" fillId="0" borderId="1" xfId="0" applyFont="1" applyBorder="1" applyAlignment="1">
      <alignment horizontal="center" vertical="center"/>
    </xf>
    <xf numFmtId="0" fontId="37" fillId="0" borderId="21" xfId="0" applyFont="1" applyBorder="1" applyAlignment="1">
      <alignment horizontal="center" vertical="center"/>
    </xf>
    <xf numFmtId="49" fontId="37" fillId="0" borderId="21" xfId="0" applyNumberFormat="1" applyFont="1" applyBorder="1" applyAlignment="1">
      <alignment horizontal="center" vertical="center"/>
    </xf>
    <xf numFmtId="0" fontId="39" fillId="0" borderId="0" xfId="0" applyFont="1"/>
    <xf numFmtId="0" fontId="8" fillId="0" borderId="1" xfId="0" applyFont="1" applyBorder="1" applyAlignment="1">
      <alignment horizontal="center"/>
    </xf>
    <xf numFmtId="0" fontId="8" fillId="0" borderId="34" xfId="0" applyFont="1" applyBorder="1" applyAlignment="1">
      <alignment horizontal="center"/>
    </xf>
    <xf numFmtId="0" fontId="18" fillId="0" borderId="34" xfId="0" applyFont="1" applyBorder="1" applyAlignment="1">
      <alignment horizontal="center"/>
    </xf>
    <xf numFmtId="0" fontId="8" fillId="0" borderId="35" xfId="0" applyFont="1" applyBorder="1" applyAlignment="1">
      <alignment horizontal="center"/>
    </xf>
    <xf numFmtId="0" fontId="8" fillId="0" borderId="36" xfId="0" applyFont="1" applyBorder="1" applyAlignment="1">
      <alignment horizontal="center"/>
    </xf>
    <xf numFmtId="0" fontId="18" fillId="0" borderId="36" xfId="0" applyFont="1" applyBorder="1" applyAlignment="1">
      <alignment horizontal="center"/>
    </xf>
    <xf numFmtId="9" fontId="2" fillId="0" borderId="1" xfId="5" applyFont="1" applyFill="1" applyBorder="1" applyAlignment="1">
      <alignment horizontal="center" vertical="center"/>
    </xf>
    <xf numFmtId="0" fontId="38" fillId="12" borderId="32" xfId="0" applyFont="1" applyFill="1" applyBorder="1" applyAlignment="1">
      <alignment vertical="center" indent="36"/>
    </xf>
    <xf numFmtId="0" fontId="38" fillId="12" borderId="33" xfId="0" applyFont="1" applyFill="1" applyBorder="1" applyAlignment="1">
      <alignment vertical="center" indent="36"/>
    </xf>
    <xf numFmtId="0" fontId="38" fillId="12" borderId="34" xfId="0" applyFont="1" applyFill="1" applyBorder="1" applyAlignment="1">
      <alignment vertical="center" indent="36"/>
    </xf>
    <xf numFmtId="0" fontId="2" fillId="0" borderId="1" xfId="0" applyFont="1" applyBorder="1" applyAlignment="1">
      <alignment horizontal="left" vertical="center"/>
    </xf>
    <xf numFmtId="49" fontId="38" fillId="12" borderId="33" xfId="0" applyNumberFormat="1" applyFont="1" applyFill="1" applyBorder="1" applyAlignment="1">
      <alignment vertical="center" indent="36"/>
    </xf>
    <xf numFmtId="49" fontId="2" fillId="0" borderId="1" xfId="0" applyNumberFormat="1" applyFont="1" applyBorder="1" applyAlignment="1">
      <alignment horizontal="center" vertical="center"/>
    </xf>
    <xf numFmtId="49" fontId="2" fillId="0" borderId="3" xfId="0" applyNumberFormat="1" applyFont="1" applyBorder="1" applyAlignment="1">
      <alignment horizontal="center" vertical="center"/>
    </xf>
    <xf numFmtId="0" fontId="2" fillId="14" borderId="1" xfId="0" applyFont="1" applyFill="1" applyBorder="1" applyAlignment="1">
      <alignment horizontal="center" vertical="center"/>
    </xf>
    <xf numFmtId="0" fontId="2" fillId="14" borderId="21" xfId="0" applyFont="1" applyFill="1" applyBorder="1" applyAlignment="1">
      <alignment horizontal="center" vertical="center"/>
    </xf>
    <xf numFmtId="49" fontId="2" fillId="14" borderId="21" xfId="0" applyNumberFormat="1" applyFont="1" applyFill="1" applyBorder="1" applyAlignment="1">
      <alignment horizontal="center" vertical="center"/>
    </xf>
    <xf numFmtId="0" fontId="2" fillId="14" borderId="21" xfId="0" applyFont="1" applyFill="1" applyBorder="1" applyAlignment="1">
      <alignment horizontal="left" vertical="center"/>
    </xf>
    <xf numFmtId="0" fontId="2" fillId="14" borderId="1" xfId="0" applyFont="1" applyFill="1" applyBorder="1" applyAlignment="1">
      <alignment horizontal="left" vertical="center"/>
    </xf>
    <xf numFmtId="166" fontId="2" fillId="14" borderId="21" xfId="0" applyNumberFormat="1" applyFont="1" applyFill="1" applyBorder="1" applyAlignment="1">
      <alignment horizontal="center" vertical="center"/>
    </xf>
    <xf numFmtId="9" fontId="2" fillId="14" borderId="1" xfId="5" applyFont="1" applyFill="1" applyBorder="1" applyAlignment="1">
      <alignment horizontal="center" vertical="center"/>
    </xf>
    <xf numFmtId="0" fontId="42" fillId="15" borderId="1" xfId="0" applyFont="1" applyFill="1" applyBorder="1" applyAlignment="1">
      <alignment horizontal="center" vertical="center"/>
    </xf>
    <xf numFmtId="0" fontId="42" fillId="15" borderId="21" xfId="0" applyFont="1" applyFill="1" applyBorder="1" applyAlignment="1">
      <alignment horizontal="center" vertical="center"/>
    </xf>
    <xf numFmtId="49" fontId="42" fillId="15" borderId="21" xfId="0" applyNumberFormat="1" applyFont="1" applyFill="1" applyBorder="1" applyAlignment="1">
      <alignment horizontal="center" vertical="center"/>
    </xf>
    <xf numFmtId="0" fontId="42" fillId="15" borderId="1" xfId="0" applyFont="1" applyFill="1" applyBorder="1" applyAlignment="1">
      <alignment horizontal="left" vertical="center"/>
    </xf>
    <xf numFmtId="166" fontId="2" fillId="15" borderId="21" xfId="0" applyNumberFormat="1" applyFont="1" applyFill="1" applyBorder="1" applyAlignment="1">
      <alignment horizontal="center" vertical="center"/>
    </xf>
    <xf numFmtId="0" fontId="2" fillId="15" borderId="21" xfId="0" applyFont="1" applyFill="1" applyBorder="1" applyAlignment="1">
      <alignment horizontal="center" vertical="center"/>
    </xf>
    <xf numFmtId="9" fontId="2" fillId="15" borderId="1" xfId="5" applyFont="1" applyFill="1" applyBorder="1" applyAlignment="1">
      <alignment horizontal="center" vertical="center"/>
    </xf>
    <xf numFmtId="14" fontId="38" fillId="12" borderId="33" xfId="0" applyNumberFormat="1" applyFont="1" applyFill="1" applyBorder="1" applyAlignment="1">
      <alignment horizontal="center" vertical="center" indent="36"/>
    </xf>
    <xf numFmtId="0" fontId="42" fillId="0" borderId="1" xfId="0" applyFont="1" applyBorder="1" applyAlignment="1">
      <alignment horizontal="center" vertical="center"/>
    </xf>
    <xf numFmtId="0" fontId="42" fillId="0" borderId="21" xfId="0" applyFont="1" applyBorder="1" applyAlignment="1">
      <alignment horizontal="center" vertical="center"/>
    </xf>
    <xf numFmtId="0" fontId="42" fillId="0" borderId="1" xfId="0" applyFont="1" applyBorder="1" applyAlignment="1">
      <alignment horizontal="left" vertical="center"/>
    </xf>
    <xf numFmtId="0" fontId="2" fillId="0" borderId="21" xfId="0" applyFont="1" applyBorder="1" applyAlignment="1">
      <alignment horizontal="left" vertical="center"/>
    </xf>
    <xf numFmtId="167" fontId="2" fillId="0" borderId="21" xfId="0" applyNumberFormat="1" applyFont="1" applyBorder="1" applyAlignment="1">
      <alignment horizontal="center" vertical="center"/>
    </xf>
    <xf numFmtId="14" fontId="2" fillId="14" borderId="35" xfId="0" applyNumberFormat="1" applyFont="1" applyFill="1" applyBorder="1" applyAlignment="1">
      <alignment horizontal="center" vertical="center"/>
    </xf>
    <xf numFmtId="14" fontId="2" fillId="0" borderId="35" xfId="0" applyNumberFormat="1" applyFont="1" applyBorder="1" applyAlignment="1">
      <alignment horizontal="center" vertical="center"/>
    </xf>
    <xf numFmtId="0" fontId="2" fillId="0" borderId="1" xfId="0" applyFont="1" applyBorder="1" applyAlignment="1">
      <alignment horizontal="left" vertical="center" wrapText="1"/>
    </xf>
    <xf numFmtId="0" fontId="40" fillId="0" borderId="21" xfId="0" applyFont="1" applyBorder="1" applyAlignment="1">
      <alignment horizontal="center" vertical="center"/>
    </xf>
    <xf numFmtId="0" fontId="2" fillId="0" borderId="0" xfId="0" applyFont="1" applyAlignment="1">
      <alignment horizontal="left" vertical="center"/>
    </xf>
    <xf numFmtId="166" fontId="2" fillId="14" borderId="35" xfId="0" applyNumberFormat="1" applyFont="1" applyFill="1" applyBorder="1" applyAlignment="1">
      <alignment horizontal="center" vertical="center"/>
    </xf>
    <xf numFmtId="166" fontId="42" fillId="0" borderId="21" xfId="0" applyNumberFormat="1" applyFont="1" applyBorder="1" applyAlignment="1">
      <alignment horizontal="center" vertical="center"/>
    </xf>
    <xf numFmtId="0" fontId="11" fillId="12" borderId="35" xfId="0" applyFont="1" applyFill="1" applyBorder="1" applyAlignment="1">
      <alignment horizontal="center" vertical="center" wrapText="1"/>
    </xf>
    <xf numFmtId="49" fontId="11" fillId="12" borderId="35" xfId="0" applyNumberFormat="1" applyFont="1" applyFill="1" applyBorder="1" applyAlignment="1">
      <alignment horizontal="center" vertical="center" wrapText="1"/>
    </xf>
    <xf numFmtId="14" fontId="11" fillId="12" borderId="35" xfId="0" applyNumberFormat="1" applyFont="1" applyFill="1" applyBorder="1" applyAlignment="1">
      <alignment horizontal="center" vertical="center" wrapText="1"/>
    </xf>
    <xf numFmtId="166" fontId="11" fillId="12" borderId="35" xfId="0" applyNumberFormat="1" applyFont="1" applyFill="1" applyBorder="1" applyAlignment="1">
      <alignment horizontal="center" vertical="center" wrapText="1"/>
    </xf>
    <xf numFmtId="0" fontId="11" fillId="13" borderId="35" xfId="0" applyFont="1" applyFill="1" applyBorder="1" applyAlignment="1">
      <alignment horizontal="center" vertical="center" wrapText="1"/>
    </xf>
    <xf numFmtId="9" fontId="11" fillId="12" borderId="35" xfId="5" applyFont="1" applyFill="1" applyBorder="1" applyAlignment="1">
      <alignment horizontal="center" vertical="center" wrapText="1"/>
    </xf>
    <xf numFmtId="0" fontId="41" fillId="0" borderId="1" xfId="0" applyFont="1" applyBorder="1" applyAlignment="1">
      <alignment vertical="center"/>
    </xf>
    <xf numFmtId="0" fontId="23" fillId="0" borderId="1" xfId="0" applyFont="1" applyBorder="1" applyAlignment="1">
      <alignment horizontal="center" vertical="center"/>
    </xf>
    <xf numFmtId="0" fontId="23" fillId="0" borderId="1" xfId="0" applyFont="1" applyBorder="1" applyAlignment="1">
      <alignment vertical="center"/>
    </xf>
    <xf numFmtId="14" fontId="23" fillId="0" borderId="35" xfId="0" applyNumberFormat="1" applyFont="1" applyBorder="1" applyAlignment="1">
      <alignment horizontal="center" vertical="center"/>
    </xf>
    <xf numFmtId="14" fontId="23" fillId="0" borderId="1" xfId="0" applyNumberFormat="1" applyFont="1" applyBorder="1" applyAlignment="1">
      <alignment horizontal="center" vertical="center"/>
    </xf>
    <xf numFmtId="14" fontId="23" fillId="0" borderId="21" xfId="0" applyNumberFormat="1" applyFont="1" applyBorder="1" applyAlignment="1">
      <alignment horizontal="center" vertical="center"/>
    </xf>
    <xf numFmtId="0" fontId="2" fillId="0" borderId="1" xfId="0" applyFont="1" applyBorder="1" applyAlignment="1">
      <alignment vertical="center"/>
    </xf>
    <xf numFmtId="0" fontId="23" fillId="14" borderId="1" xfId="0" applyFont="1" applyFill="1" applyBorder="1" applyAlignment="1">
      <alignment horizontal="left" vertical="center"/>
    </xf>
    <xf numFmtId="0" fontId="23" fillId="14" borderId="1" xfId="0" applyFont="1" applyFill="1" applyBorder="1" applyAlignment="1">
      <alignment horizontal="center" vertical="center"/>
    </xf>
    <xf numFmtId="0" fontId="23" fillId="0" borderId="1" xfId="0" applyFont="1" applyBorder="1" applyAlignment="1">
      <alignment horizontal="left" vertical="center"/>
    </xf>
    <xf numFmtId="0" fontId="2" fillId="16" borderId="1" xfId="0" applyFont="1" applyFill="1" applyBorder="1" applyAlignment="1">
      <alignment horizontal="center" vertical="center"/>
    </xf>
    <xf numFmtId="49" fontId="42" fillId="0" borderId="21" xfId="0" applyNumberFormat="1" applyFont="1" applyBorder="1" applyAlignment="1">
      <alignment horizontal="center" vertical="center"/>
    </xf>
    <xf numFmtId="0" fontId="23" fillId="0" borderId="0" xfId="0" applyFont="1" applyAlignment="1">
      <alignment horizontal="left" vertical="center"/>
    </xf>
    <xf numFmtId="0" fontId="43" fillId="0" borderId="1" xfId="0" applyFont="1" applyBorder="1"/>
    <xf numFmtId="0" fontId="40" fillId="0" borderId="1" xfId="0" applyFont="1" applyBorder="1" applyAlignment="1">
      <alignment horizontal="left" vertical="center"/>
    </xf>
    <xf numFmtId="0" fontId="43" fillId="0" borderId="1" xfId="0" applyFont="1" applyBorder="1" applyAlignment="1">
      <alignment horizontal="left" vertical="center"/>
    </xf>
    <xf numFmtId="166" fontId="2" fillId="0" borderId="35" xfId="0" applyNumberFormat="1" applyFont="1" applyBorder="1" applyAlignment="1">
      <alignment horizontal="center" vertical="center"/>
    </xf>
    <xf numFmtId="0" fontId="23" fillId="0" borderId="21" xfId="0" applyFont="1" applyBorder="1" applyAlignment="1">
      <alignment horizontal="center" vertical="center"/>
    </xf>
    <xf numFmtId="14" fontId="2" fillId="14" borderId="21" xfId="0" applyNumberFormat="1" applyFont="1" applyFill="1" applyBorder="1" applyAlignment="1">
      <alignment horizontal="center" vertical="center"/>
    </xf>
    <xf numFmtId="0" fontId="2" fillId="15" borderId="21" xfId="0" applyFont="1" applyFill="1" applyBorder="1" applyAlignment="1">
      <alignment horizontal="left" vertical="center"/>
    </xf>
    <xf numFmtId="0" fontId="23" fillId="0" borderId="5" xfId="4" applyFont="1" applyBorder="1" applyAlignment="1">
      <alignment horizontal="center" vertical="center" wrapText="1"/>
    </xf>
    <xf numFmtId="0" fontId="23" fillId="0" borderId="30" xfId="4" applyFont="1" applyBorder="1" applyAlignment="1">
      <alignment horizontal="center" vertical="center" wrapText="1"/>
    </xf>
    <xf numFmtId="0" fontId="23" fillId="0" borderId="28" xfId="4" applyFont="1" applyBorder="1" applyAlignment="1">
      <alignment horizontal="center" vertical="center" wrapText="1"/>
    </xf>
    <xf numFmtId="0" fontId="29" fillId="0" borderId="5" xfId="4" applyFont="1" applyBorder="1" applyAlignment="1">
      <alignment horizontal="center" vertical="center" wrapText="1"/>
    </xf>
    <xf numFmtId="0" fontId="29" fillId="0" borderId="30" xfId="4" applyFont="1" applyBorder="1" applyAlignment="1">
      <alignment horizontal="center" vertical="center" wrapText="1"/>
    </xf>
    <xf numFmtId="0" fontId="29" fillId="0" borderId="28" xfId="4" applyFont="1" applyBorder="1" applyAlignment="1">
      <alignment horizontal="center" vertical="center" wrapText="1"/>
    </xf>
    <xf numFmtId="0" fontId="24" fillId="4" borderId="23" xfId="4" applyFont="1" applyFill="1" applyBorder="1" applyAlignment="1">
      <alignment horizontal="center" vertical="center" wrapText="1"/>
    </xf>
    <xf numFmtId="0" fontId="24" fillId="8" borderId="24" xfId="4" applyFont="1" applyFill="1" applyBorder="1" applyAlignment="1">
      <alignment horizontal="center" vertical="center" wrapText="1"/>
    </xf>
    <xf numFmtId="0" fontId="24" fillId="8" borderId="27" xfId="4" applyFont="1" applyFill="1" applyBorder="1" applyAlignment="1">
      <alignment horizontal="center" vertical="center" wrapText="1"/>
    </xf>
    <xf numFmtId="0" fontId="24" fillId="8" borderId="5" xfId="4" applyFont="1" applyFill="1" applyBorder="1" applyAlignment="1">
      <alignment horizontal="center" vertical="center" wrapText="1"/>
    </xf>
    <xf numFmtId="0" fontId="24" fillId="8" borderId="28" xfId="4" applyFont="1" applyFill="1" applyBorder="1" applyAlignment="1">
      <alignment horizontal="center" vertical="center" wrapText="1"/>
    </xf>
    <xf numFmtId="0" fontId="13" fillId="5" borderId="10" xfId="1" applyFont="1" applyFill="1" applyBorder="1" applyAlignment="1">
      <alignment horizontal="center" vertical="center"/>
    </xf>
    <xf numFmtId="0" fontId="13" fillId="5" borderId="11" xfId="1" applyFont="1" applyFill="1" applyBorder="1" applyAlignment="1">
      <alignment horizontal="center" vertical="center"/>
    </xf>
    <xf numFmtId="0" fontId="13" fillId="5" borderId="12" xfId="1" applyFont="1" applyFill="1" applyBorder="1" applyAlignment="1">
      <alignment horizontal="center" vertical="center"/>
    </xf>
    <xf numFmtId="0" fontId="13" fillId="5" borderId="13" xfId="1" applyFont="1" applyFill="1" applyBorder="1" applyAlignment="1">
      <alignment horizontal="center" vertical="center"/>
    </xf>
    <xf numFmtId="0" fontId="13" fillId="5" borderId="20" xfId="1" applyFont="1" applyFill="1" applyBorder="1" applyAlignment="1">
      <alignment horizontal="center" vertical="center"/>
    </xf>
    <xf numFmtId="0" fontId="13" fillId="5" borderId="17" xfId="1" applyFont="1" applyFill="1" applyBorder="1" applyAlignment="1">
      <alignment horizontal="center" vertical="center"/>
    </xf>
    <xf numFmtId="0" fontId="21" fillId="6" borderId="1" xfId="1" applyFont="1" applyFill="1" applyBorder="1" applyAlignment="1">
      <alignment horizontal="center" vertical="center" wrapText="1"/>
    </xf>
    <xf numFmtId="0" fontId="20" fillId="6" borderId="1" xfId="1" applyFont="1" applyFill="1" applyBorder="1" applyAlignment="1">
      <alignment horizontal="center" vertical="center" wrapText="1"/>
    </xf>
    <xf numFmtId="0" fontId="13" fillId="5" borderId="1" xfId="1" applyFont="1" applyFill="1" applyBorder="1" applyAlignment="1">
      <alignment horizontal="center" vertical="center" wrapText="1"/>
    </xf>
  </cellXfs>
  <cellStyles count="6">
    <cellStyle name="Normal 2" xfId="1" xr:uid="{BFA2DD4E-C336-4AE7-907D-92F3BCE3E0A6}"/>
    <cellStyle name="Normal 3" xfId="2" xr:uid="{8240CAD8-C121-46D5-9BDC-364A7FD6FE21}"/>
    <cellStyle name="Normal 3 2" xfId="3" xr:uid="{483848AB-486F-4EB1-AD61-C5D16CAB1AEF}"/>
    <cellStyle name="Normal 4" xfId="4" xr:uid="{6AC8B51C-729F-43E7-A4DB-53992EE13033}"/>
    <cellStyle name="Обычный" xfId="0" builtinId="0"/>
    <cellStyle name="Процентный" xfId="5" builtinId="5"/>
  </cellStyles>
  <dxfs count="33">
    <dxf>
      <font>
        <color rgb="FF9C0006"/>
      </font>
      <fill>
        <patternFill>
          <bgColor rgb="FFFFC7CE"/>
        </patternFill>
      </fill>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6" formatCode="d/mm/yyyy;@"/>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66" formatCode="d/mm/yyyy;@"/>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border outline="0">
        <bottom style="thin">
          <color indexed="64"/>
        </bottom>
      </border>
    </dxf>
    <dxf>
      <border outline="0">
        <top style="thin">
          <color indexed="64"/>
        </top>
      </border>
    </dxf>
    <dxf>
      <font>
        <b val="0"/>
        <i val="0"/>
        <strike val="0"/>
        <condense val="0"/>
        <extend val="0"/>
        <outline val="0"/>
        <shadow val="0"/>
        <u val="none"/>
        <vertAlign val="baseline"/>
        <sz val="10"/>
        <color theme="1"/>
        <name val="Aptos Narrow"/>
        <family val="2"/>
        <scheme val="minor"/>
      </font>
      <alignment horizontal="center" vertical="center" textRotation="0" wrapText="0" indent="0" justifyLastLine="0" shrinkToFit="0" readingOrder="0"/>
    </dxf>
    <dxf>
      <font>
        <b/>
        <i val="0"/>
        <strike val="0"/>
        <condense val="0"/>
        <extend val="0"/>
        <outline val="0"/>
        <shadow val="0"/>
        <u val="none"/>
        <vertAlign val="baseline"/>
        <sz val="10"/>
        <color theme="0"/>
        <name val="Aptos Narrow"/>
        <family val="2"/>
        <scheme val="minor"/>
      </font>
      <fill>
        <patternFill patternType="solid">
          <fgColor indexed="64"/>
          <bgColor theme="2" tint="-0.749992370372631"/>
        </patternFill>
      </fill>
      <alignment horizontal="center" vertical="center" textRotation="0" wrapText="1" indent="0" justifyLastLine="0" shrinkToFit="0" readingOrder="0"/>
      <border diagonalUp="0" diagonalDown="0">
        <left style="thin">
          <color indexed="64"/>
        </left>
        <right style="thin">
          <color indexed="64"/>
        </right>
        <top/>
        <bottom/>
      </border>
    </dxf>
    <dxf>
      <fill>
        <patternFill>
          <bgColor theme="6" tint="0.79998168889431442"/>
        </patternFill>
      </fill>
    </dxf>
    <dxf>
      <fill>
        <patternFill>
          <bgColor rgb="FFFF898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00"/>
      <color rgb="FFFF8989"/>
      <color rgb="FFFF6969"/>
      <color rgb="FF00557E"/>
      <color rgb="FFA39161"/>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156883</xdr:colOff>
      <xdr:row>0</xdr:row>
      <xdr:rowOff>22412</xdr:rowOff>
    </xdr:from>
    <xdr:to>
      <xdr:col>0</xdr:col>
      <xdr:colOff>1086971</xdr:colOff>
      <xdr:row>0</xdr:row>
      <xdr:rowOff>866135</xdr:rowOff>
    </xdr:to>
    <xdr:pic>
      <xdr:nvPicPr>
        <xdr:cNvPr id="2" name="Picture 1">
          <a:extLst>
            <a:ext uri="{FF2B5EF4-FFF2-40B4-BE49-F238E27FC236}">
              <a16:creationId xmlns:a16="http://schemas.microsoft.com/office/drawing/2014/main" id="{4912072E-0C8B-14CF-4E68-9ED3789D1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6883" y="22412"/>
          <a:ext cx="930088" cy="843723"/>
        </a:xfrm>
        <a:prstGeom prst="rect">
          <a:avLst/>
        </a:prstGeom>
      </xdr:spPr>
    </xdr:pic>
    <xdr:clientData/>
  </xdr:twoCellAnchor>
  <xdr:twoCellAnchor editAs="oneCell">
    <xdr:from>
      <xdr:col>0</xdr:col>
      <xdr:colOff>1123950</xdr:colOff>
      <xdr:row>0</xdr:row>
      <xdr:rowOff>304800</xdr:rowOff>
    </xdr:from>
    <xdr:to>
      <xdr:col>2</xdr:col>
      <xdr:colOff>171450</xdr:colOff>
      <xdr:row>0</xdr:row>
      <xdr:rowOff>695325</xdr:rowOff>
    </xdr:to>
    <xdr:pic>
      <xdr:nvPicPr>
        <xdr:cNvPr id="3" name="Picture 2">
          <a:extLst>
            <a:ext uri="{FF2B5EF4-FFF2-40B4-BE49-F238E27FC236}">
              <a16:creationId xmlns:a16="http://schemas.microsoft.com/office/drawing/2014/main" id="{1EAC801C-4927-3D03-20D7-B577ECA378B5}"/>
            </a:ext>
            <a:ext uri="{147F2762-F138-4A5C-976F-8EAC2B608ADB}">
              <a16:predDERef xmlns:a16="http://schemas.microsoft.com/office/drawing/2014/main" pred="{4912072E-0C8B-14CF-4E68-9ED3789D1520}"/>
            </a:ext>
          </a:extLst>
        </xdr:cNvPr>
        <xdr:cNvPicPr>
          <a:picLocks noChangeAspect="1"/>
        </xdr:cNvPicPr>
      </xdr:nvPicPr>
      <xdr:blipFill>
        <a:blip xmlns:r="http://schemas.openxmlformats.org/officeDocument/2006/relationships" r:embed="rId2"/>
        <a:stretch>
          <a:fillRect/>
        </a:stretch>
      </xdr:blipFill>
      <xdr:spPr>
        <a:xfrm>
          <a:off x="1123950" y="304800"/>
          <a:ext cx="1628775" cy="3905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Contractor%20Document%20and%20Data%20List%20(CDDL)\Q-24050972-8-0000-0001-G-A11-%20PPE%20Document%20Register%20CDDL\Q-24050972-8-0000-0001-G-A11.xlsx" TargetMode="External"/><Relationship Id="rId2" Type="http://schemas.microsoft.com/office/2019/04/relationships/externalLinkLongPath" Target="/Q_24050972%20EP%20Early%20Works/4.%20PROJECT%20MANAGEMENT/4.18%20Document%20Control/Contractor%20Document%20and%20Data%20List%20(CDDL)/Q-24050972-8-0000-0001-G-A11-%20PPE%20Document%20Register%20CDDL/Q-24050972-8-0000-0001-G-A11.xlsx?9DA8FE0D" TargetMode="External"/><Relationship Id="rId1" Type="http://schemas.openxmlformats.org/officeDocument/2006/relationships/externalLinkPath" Target="file:///\\9DA8FE0D\Q-24050972-8-0000-0001-G-A11.xlsx" TargetMode="External"/><Relationship Id="rId4" Type="http://schemas.openxmlformats.org/officeDocument/2006/relationships/externalLinkPath" Target="../../../Q_24050972%20EP%20Early%20Works/4.%20PROJECT%20MANAGEMENT/4.18%20Document%20Control/Contractor%20Document%20and%20Data%20List%20(CDDL)/Q-24050972-8-0000-0001-G-A11-%20PPE%20Document%20Register%20CDDL/Q-24050972-8-0000-0001-G-A1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file:///Z:\Q_24050972%20EP%20Early%20Works\4.%20PROJECT%20MANAGEMENT\4.18%20Document%20Control\6105AK038-XXXX-GA01&amp;A11-XXXX_%20Transmittals\6105AK038-XXXX-GA11-XXXX_Register\Q-0000-8-24050972-G-0001_6%20Transmittal%20Register.xlsx" TargetMode="External"/><Relationship Id="rId2" Type="http://schemas.microsoft.com/office/2019/04/relationships/externalLinkLongPath" Target="/Q_24050972%20EP%20Early%20Works/4.%20PROJECT%20MANAGEMENT/4.18%20Document%20Control/6105AK038-XXXX-GA01&amp;A11-XXXX_%20Transmittals/6105AK038-XXXX-GA11-XXXX_Register/Q-0000-8-24050972-G-0001_6%20Transmittal%20Register.xlsx?AB05A036" TargetMode="External"/><Relationship Id="rId1" Type="http://schemas.openxmlformats.org/officeDocument/2006/relationships/externalLinkPath" Target="file:///\\AB05A036\Q-0000-8-24050972-G-0001_6%20Transmittal%20Register.xlsx" TargetMode="External"/><Relationship Id="rId4" Type="http://schemas.openxmlformats.org/officeDocument/2006/relationships/externalLinkPath" Target="../../../Q_24050972%20EP%20Early%20Works/4.%20PROJECT%20MANAGEMENT/4.18%20Document%20Control/6105AK038-XXXX-GA01&amp;A11-XXXX_%20Transmittals/6105AK038-XXXX-GA11-XXXX_Register/Q-0000-8-24050972-G-0001_6%20Transmittal%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CDDL"/>
      <sheetName val="PPE EW WBS (2)"/>
      <sheetName val="Area WBS"/>
      <sheetName val="Revision"/>
      <sheetName val="Discipline Codes"/>
      <sheetName val="Instruction"/>
      <sheetName val="Dropdown"/>
      <sheetName val="Docs not in use"/>
      <sheetName val="Document and Drawing Type"/>
      <sheetName val="Drawing Packs"/>
      <sheetName val="PPE EW WBS"/>
      <sheetName val="Sheet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Old Register"/>
      <sheetName val="New Register"/>
      <sheetName val="Discipline Codes"/>
      <sheetName val="Revision"/>
      <sheetName val="PPE EW WBS"/>
      <sheetName val="Note"/>
      <sheetName val="Procedure"/>
      <sheetName val="List Fields"/>
      <sheetName val="Document and Drawing Type"/>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7585FD0-150B-4D8F-A8C5-2CF3BA768E27}">
    <nsvFilter filterId="{852EE336-310C-4A93-B069-18F9113F77C1}" ref="A2:V1201" tableId="1"/>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zelda Potgieter" refreshedDate="45908.360621527776" createdVersion="8" refreshedVersion="8" minRefreshableVersion="3" recordCount="287" xr:uid="{A014F721-00B2-4B9F-B0C0-AFE4E8968C86}">
  <cacheSource type="worksheet">
    <worksheetSource ref="A2:R288" sheet="Register"/>
  </cacheSource>
  <cacheFields count="19">
    <cacheField name="Project Number" numFmtId="0">
      <sharedItems/>
    </cacheField>
    <cacheField name="Package Number" numFmtId="0">
      <sharedItems/>
    </cacheField>
    <cacheField name="Area/ WBS No." numFmtId="0">
      <sharedItems containsMixedTypes="1" containsNumber="1" containsInteger="1" minValue="6200" maxValue="6292" count="13">
        <s v="0000"/>
        <n v="6200"/>
        <n v="6243"/>
        <n v="6250"/>
        <n v="6260"/>
        <n v="6262"/>
        <n v="6263"/>
        <n v="6264"/>
        <n v="6280"/>
        <n v="6286"/>
        <n v="6292"/>
        <s v="0100"/>
        <n v="6240"/>
      </sharedItems>
    </cacheField>
    <cacheField name="Discipline" numFmtId="0">
      <sharedItems count="5">
        <s v="G"/>
        <s v="E"/>
        <s v="B"/>
        <s v="M"/>
        <s v="H"/>
      </sharedItems>
    </cacheField>
    <cacheField name="Document Type" numFmtId="0">
      <sharedItems/>
    </cacheField>
    <cacheField name="Sequential Number" numFmtId="0">
      <sharedItems/>
    </cacheField>
    <cacheField name="Revision" numFmtId="0">
      <sharedItems/>
    </cacheField>
    <cacheField name="RDMC Document Number" numFmtId="0">
      <sharedItems count="287">
        <s v="6105AK124-0000-GDDR-0001"/>
        <s v="6105AK124-6200-EDST-0001"/>
        <s v="6105AK124-6200-ESOW-0001"/>
        <s v="6105AK124-6200-EDST-0016"/>
        <s v="6105AK124-6200-EBOM-0001"/>
        <s v="6105AK124-6200-EBOM-0002"/>
        <s v="6105AK124-6200-EBOM-0003"/>
        <s v="6105AK124-6200-BBOS-0001"/>
        <s v="6105AK124-6243-ESOW-0001"/>
        <s v="6105AK124-6243-EDST-0002"/>
        <s v="6105AK124-6243-EDST-0003"/>
        <s v="6105AK124-6243-EDST-0004"/>
        <s v="6105AK124-6243-EDST-0005"/>
        <s v="6105AK124-6243-ESLD-0001"/>
        <s v="6105AK124-6250-ESOW-0001"/>
        <s v="6105AK124-6250-EREQ-0001"/>
        <s v="6105AK124-6250-EDST-0001"/>
        <s v="6105AK124-6250-ESLD-0001"/>
        <s v="6105AK124-6260-ESLD-0001"/>
        <s v="6105AK124-6260-EGAD-0002"/>
        <s v="6105AK124-6260-EDST-0005"/>
        <s v="6105AK124-6260-EDST-0008"/>
        <s v="6105AK124-6260-ESOW-0003"/>
        <s v="6105AK124-6260-ESLD-0002"/>
        <s v="6105AK124-6260-ESLD-0003"/>
        <s v="6105AK124-6260-ESLD-0004"/>
        <s v="6105AK124-6260-EDST-0016"/>
        <s v="6105AK124-6260-EGAD-0005"/>
        <s v="6105AK124-6260-EGAD-0006"/>
        <s v="6105AK124-6260-EGAD-0007"/>
        <s v="6105AK124-6260-EGAD-0008"/>
        <s v="6105AK124-6260-EGAD-0009"/>
        <s v="6105AK124-6260-EGAD-0010"/>
        <s v="6105AK124-6260-EGAD-0011"/>
        <s v="6105AK124-6260-EGAD-0012"/>
        <s v="6105AK124-6262-MGAD-0001"/>
        <s v="6105AK124-6262-MGAD-0002"/>
        <s v="6105AK124-6262-MGAD-0003"/>
        <s v="6105AK124-6262-MGAD-0004"/>
        <s v="6105AK124-6262-MGAD-0005"/>
        <s v="6105AK124-6262-MGAD-0010"/>
        <s v="6105AK124-6262-EDST-0004"/>
        <s v="6105AK124-6262-MGAD-0006"/>
        <s v="6105AK124-6262-MGAD-0007"/>
        <s v="6105AK124-6262-MGAD-0008"/>
        <s v="6105AK124-6262-MGAD-0009"/>
        <s v="6105AK124-6262-ESOW-0001"/>
        <s v="6105AK124-6262-EDST-0001"/>
        <s v="6105AK124-6262-EDST-0002"/>
        <s v="6105AK124-6262-EDST-0003"/>
        <s v="6105AK124-6263-ESOW-0001"/>
        <s v="6105AK124-6263-EDST-0002"/>
        <s v="6105AK124-6263-ESOW-0002"/>
        <s v="6105AK124-6263-EBOM-0001"/>
        <s v="6105AK124-6263-EDST-0003"/>
        <s v="6105AK124-6263-EDST-0004"/>
        <s v="6105AK124-6263-EDST-0005"/>
        <s v="6105AK124-6264-EDST-0001"/>
        <s v="6105AK124-6264-ESOW-0001"/>
        <s v="6105AK124-6280-ESLD-0001"/>
        <s v="6105AK124-6286-EGAD-0001"/>
        <s v="6105AK124-6286-EDST-0001"/>
        <s v="6105AK124-6286-EDST-0002"/>
        <s v="6105AK124-6286-EDTL-0001"/>
        <s v="6105AK124-6286-EDTL-0002"/>
        <s v="6105AK124-6286-ELAY-0001"/>
        <s v="6105AK124-6286-ESLD-0001"/>
        <s v="6105AK124-6286-EDST-0003"/>
        <s v="6105AK124-6286-EDST-0004"/>
        <s v="6105AK124-6286-EDST-0005"/>
        <s v="6105AK124-6286-MGAD-0001"/>
        <s v="6105AK124-6286-MGAD-0002"/>
        <s v="6105AK124-6286-MGAD-0003"/>
        <s v="6105AK124-6286-MGAD-0004"/>
        <s v="6105AK124-6286-MGAD-0005"/>
        <s v="6105AK124-6286-MGAD-0006"/>
        <s v="6105AK124-6286-MGAD-0007"/>
        <s v="6105AK124-6286-MGAD-0008"/>
        <s v="6105AK124-6286-MGAD-0009"/>
        <s v="6105AK124-6286-MGAD-0010"/>
        <s v="6105AK124-6292-ESOW-0001"/>
        <s v="6105AK124-6292-EDST-0001"/>
        <s v="6105AK124-6292-EDST-0002"/>
        <s v="6105AK124-6292-EDST-0003"/>
        <s v="6105AK124-6292-EDST-0004"/>
        <s v="6105AK124-0000-BPLN-0001"/>
        <s v="6105AK124-0100-HSTD-0001"/>
        <s v="6105AK124-0100-HMAN-0001"/>
        <s v="6105AK124-0100-HGDL-0001"/>
        <s v="6105AK124-0100-EDST-0002"/>
        <s v="6105AK124-0100-EDST-0003"/>
        <s v="6105AK124-6286-MGAD-0011"/>
        <s v="6105AK124-6286-MGAD-0012"/>
        <s v="6105AK124-6286-MGAD-0013"/>
        <s v="6105AK124-6286-MGAD-0014"/>
        <s v="6105AK124-6286-MGAD-0015"/>
        <s v="6105AK124-6260-MGAD-0002"/>
        <s v="6105AK124-6260-MGAD-0003"/>
        <s v="6105AK124-6260-MGAD-0004"/>
        <s v="6105AK124-6260-MGAD-0005"/>
        <s v="6105AK124-6260-MGAD-0006"/>
        <s v="6105AK124-6260-MGAD-0007"/>
        <s v="6105AK124-6260-MGAD-0008"/>
        <s v="6105AK124-6260-MGAD-0009"/>
        <s v="6105AK124-6240-EGAD-0001"/>
        <s v="6105AK124-6240-EGAD-0002"/>
        <s v="6105AK124-6260-EGAD-0013"/>
        <s v="6105AK124-6260-ELAY-0001"/>
        <s v="6105AK124-6260-ESEC-0001"/>
        <s v="6105AK124-6260-EDTL-0001"/>
        <s v="6105AK124-6243-MGAD-0001"/>
        <s v="6105AK124-6243-MGAD-0002"/>
        <s v="6105AK124-6243-MGAD-0003"/>
        <s v="6105AK124-6243-MGAD-0004"/>
        <s v="6105AK124-6243-MGAD-0005"/>
        <s v="6105AK124-6243-MGAD-0006"/>
        <s v="6105AK124-6243-MGAD-0007"/>
        <s v="6105AK124-6243-MGAD-0008"/>
        <s v="6105AK124-6243-MGAD-0009"/>
        <s v="6105AK124-6243-MGAD-0010"/>
        <s v="6105AK124-6243-MGAD-0011"/>
        <s v="6105AK124-6243-MGAD-0012"/>
        <s v="6105AK124-6243-MGAD-0013"/>
        <s v="6105AK124-6243-MGAD-0014"/>
        <s v="6105AK124-6243-MGAD-0015"/>
        <s v="6105AK124-6260-EDST-0017"/>
        <s v="6105AK124-6260-EGAD-0014"/>
        <s v="6105AK124-0100-HPRC-0001"/>
        <s v="6105AK124-0100-HPRC-0002"/>
        <s v="6105AK124-0100-HPRC-0003"/>
        <s v="6105AK124-0100-HPRC-0004"/>
        <s v="6105AK124-0100-HPRC-0005"/>
        <s v="6105AK124-0100-HPRC-0006"/>
        <s v="6105AK124-0100-HPRC-0007"/>
        <s v="6105AK124-0100-HPRC-0008"/>
        <s v="6105AK124-0100-HPRC-0009"/>
        <s v="6105AK124-0100-HPRC-0010"/>
        <s v="6105AK124-0100-HPRC-0011"/>
        <s v="6105AK124-0100-HPRC-0012"/>
        <s v="6105AK124-0100-HPRC-0013"/>
        <s v="6105AK124-0100-HPRC-0014"/>
        <s v="6105AK124-0100-HPRC-0015"/>
        <s v="6105AK124-0100-HPRC-0016"/>
        <s v="6105AK124-0100-HPRC-0017"/>
        <s v="6105AK124-0100-HPRC-0018"/>
        <s v="6105AK124-0100-HPRC-0019"/>
        <s v="6105AK124-0100-HPRC-0020"/>
        <s v="6105AK124-0100-HPRC-0021"/>
        <s v="6105AK124-0100-HPRC-0022"/>
        <s v="6105AK124-0100-HPRC-0023"/>
        <s v="6105AK124-0100-HPRC-0024"/>
        <s v="6105AK124-0100-HPRC-0025"/>
        <s v="6105AK124-0100-HPRC-0026"/>
        <s v="6105AK124-0100-HPRC-0027"/>
        <s v="6105AK124-0100-HPRC-0028"/>
        <s v="6105AK124-0100-HPRC-0029"/>
        <s v="6105AK124-0100-HPRC-0030"/>
        <s v="6105AK124-0100-HPRC-0031"/>
        <s v="6105AK124-0100-HPRC-0032"/>
        <s v="6105AK124-0100-HPRC-0033"/>
        <s v="6105AK124-0100-HPRC-0034"/>
        <s v="6105AK124-0100-HPRC-0035"/>
        <s v="6105AK124-0100-HPRC-0036"/>
        <s v="6105AK124-0100-HPRC-0037"/>
        <s v="6105AK124-0100-HPRC-0038"/>
        <s v="6105AK124-0100-HPRC-0039"/>
        <s v="6105AK124-0100-HPRC-0040"/>
        <s v="6105AK124-0100-HPRC-0041"/>
        <s v="6105AK124-0100-HPRC-0042"/>
        <s v="6105AK124-0100-HPRC-0043"/>
        <s v="6105AK124-0100-HPRC-0044"/>
        <s v="6105AK124-0100-HPRC-0045"/>
        <s v="6105AK124-0100-HPRC-0046"/>
        <s v="6105AK124-0100-HPRC-0047"/>
        <s v="6105AK124-0100-HPRC-0048"/>
        <s v="6105AK124-0100-HPRC-0049"/>
        <s v="6105AK124-0100-HPRC-0050"/>
        <s v="6105AK124-0100-HPRC-0051"/>
        <s v="6105AK124-0100-HPRC-0052"/>
        <s v="6105AK124-0100-HPRC-0053"/>
        <s v="6105AK124-0100-HPRC-0054"/>
        <s v="6105AK124-0100-HPRC-0055"/>
        <s v="6105AK124-0100-HPRC-0056"/>
        <s v="6105AK124-0100-HPRC-0057"/>
        <s v="6105AK124-0100-HPRC-0058"/>
        <s v="6105AK124-0100-HPRC-0059"/>
        <s v="6105AK124-0100-HPRC-0060"/>
        <s v="6105AK124-0100-HPRC-0061"/>
        <s v="6105AK124-0100-HPRC-0062"/>
        <s v="6105AK124-0100-HPRC-0063"/>
        <s v="6105AK124-0100-HPRC-0064"/>
        <s v="6105AK124-0100-HPRC-0065"/>
        <s v="6105AK124-0100-HPRC-0066"/>
        <s v="6105AK124-0100-HLST-0001"/>
        <s v="6105AK124-0100-HLST-0002"/>
        <s v="6105AK124-0100-HLST-0003"/>
        <s v="6105AK124-0100-HLST-0004"/>
        <s v="6105AK124-0100-HLST-0005"/>
        <s v="6105AK124-0100-HLST-0006"/>
        <s v="6105AK124-0100-HLST-0007"/>
        <s v="6105AK124-0100-HLST-0008"/>
        <s v="6105AK124-0100-HLST-0009"/>
        <s v="6105AK124-0100-HLST-0010"/>
        <s v="6105AK124-0100-HLST-0011"/>
        <s v="6105AK124-0100-HLST-0012"/>
        <s v="6105AK124-0100-HLST-0013"/>
        <s v="6105AK124-0100-HLST-0014"/>
        <s v="6105AK124-0100-HLST-0015"/>
        <s v="6105AK124-0100-HSCH-0001"/>
        <s v="6105AK124-0100-HLST-0016"/>
        <s v="6105AK124-0100-HPLN-0001"/>
        <s v="6105AK124-0100-HPLN-0002"/>
        <s v="6105AK124-0100-HPLN-0003"/>
        <s v="6105AK124-0100-HDST-0001"/>
        <s v="6105AK124-0100-HLST-0017"/>
        <s v="6105AK124-0100-HPLN-0004"/>
        <s v="6105AK124-0100-HDST-0002"/>
        <s v="6105AK124-0100-HPLN-0005"/>
        <s v="6105AK124-0100-HPLN-0006"/>
        <s v="6105AK124-0100-HLST-0018"/>
        <s v="6105AK124-0100-HLST-0019"/>
        <s v="6105AK124-0100-HLST-0020"/>
        <s v="6105AK124-0100-HPRC-0067"/>
        <s v="6105AK124-0100-HPRC-0068"/>
        <s v="6105AK124-0100-HPRC-0069"/>
        <s v="6105AK124-0100-HPRC-0070"/>
        <s v="6105AK124-0100-HPRC-0071"/>
        <s v="6105AK124-0100-HPRC-0072"/>
        <s v="6105AK124-0100-HPRC-0073"/>
        <s v="6105AK124-0100-HPRC-0074"/>
        <s v="6105AK124-0100-HPRC-0075"/>
        <s v="6105AK124-0100-HPRC-0076"/>
        <s v="6105AK124-0100-HLST-0021"/>
        <s v="6105AK124-0100-HLST-0022"/>
        <s v="6105AK124-0100-HLST-0023"/>
        <s v="6105AK124-0100-HLST-0024"/>
        <s v="6105AK124-0100-HFRM-0001"/>
        <s v="6105AK124-0100-HGDL-0002"/>
        <s v="6105AK124-0100-HPLN-0007"/>
        <s v="6105AK124-0100-HPLN-0008"/>
        <s v="6105AK124-0100-HPLN-0009"/>
        <s v="6105AK124-0100-HPLN-0010"/>
        <s v="6105AK124-0100-HPLN-0011"/>
        <s v="6105AK124-0100-HGDL-0003"/>
        <s v="6105AK124-0100-HGDL-0004"/>
        <s v="6105AK124-0100-HLST-0025"/>
        <s v="6105AK124-0100-HFRM-0002"/>
        <s v="6105AK124-0100-HFRM-0003"/>
        <s v="6105AK124-0100-HFRM-0004"/>
        <s v="6105AK124-0100-HFRM-0005"/>
        <s v="6105AK124-0100-HFRM-0006"/>
        <s v="6105AK124-0100-HFRM-0007"/>
        <s v="6105AK124-0100-HFRM-0008"/>
        <s v="6105AK124-0100-HFRM-0009"/>
        <s v="6105AK124-0100-HFRM-0010"/>
        <s v="6105AK124-0100-HFRM-0011"/>
        <s v="6105AK124-0100-HFRM-0012"/>
        <s v="6105AK124-0100-HFRM-0013"/>
        <s v="6105AK124-0100-HFRM-0014"/>
        <s v="6105AK124-0100-HFRM-0015"/>
        <s v="6105AK124-0100-HFRM-0016"/>
        <s v="6105AK124-0100-HFRM-0017"/>
        <s v="6105AK124-0100-HFRM-0018"/>
        <s v="6105AK124-0100-HFRM-0019"/>
        <s v="6105AK124-0100-HFRM-0020"/>
        <s v="6105AK124-0100-HFRM-0021"/>
        <s v="6105AK124-0100-HFRM-0022"/>
        <s v="6105AK124-0100-HFRM-0023"/>
        <s v="6105AK124-0100-HFRM-0024"/>
        <s v="6105AK124-0100-HFRM-0025"/>
        <s v="6105AK124-0100-HFRM-0026"/>
        <s v="6105AK124-0100-HFRM-0027"/>
        <s v="6105AK124-0100-HFRM-0028"/>
        <s v="6105AK124-0100-HFRM-0029"/>
        <s v="6105AK124-0100-HPRC-0077"/>
        <s v="6105AK124-0100-HPRC-0078"/>
        <s v="6105AK124-0100-HPRC-0079"/>
        <s v="6105AK124-0100-HPRC-0080"/>
        <s v="6105AK124-0100-HPRC-0081"/>
        <s v="6105AK124-0100-HPRC-0082"/>
        <s v="6105AK124-0100-HFRM-0030"/>
        <s v="6105AK124-0100-HGDL-0005"/>
        <s v="6105AK124-0100-HLST-0026"/>
        <s v="6105AK124-0100-HLST-0027"/>
        <s v="6105AK124-0100-HRPT-0001"/>
        <s v="6105AK124-0100-HPLN-0012"/>
        <s v="6105AK124-0100-HSUM-0001"/>
      </sharedItems>
    </cacheField>
    <cacheField name="PPE Doc Number" numFmtId="0">
      <sharedItems/>
    </cacheField>
    <cacheField name="Sht. # of #" numFmtId="0">
      <sharedItems containsBlank="1"/>
    </cacheField>
    <cacheField name="Area / Facility" numFmtId="0">
      <sharedItems/>
    </cacheField>
    <cacheField name="Major Description" numFmtId="0">
      <sharedItems/>
    </cacheField>
    <cacheField name="Broad Type" numFmtId="0">
      <sharedItems containsBlank="1"/>
    </cacheField>
    <cacheField name="Full Title" numFmtId="0">
      <sharedItems/>
    </cacheField>
    <cacheField name="Rev A Transmittal Date" numFmtId="166">
      <sharedItems containsBlank="1"/>
    </cacheField>
    <cacheField name="Rev 0 Transmittal Date" numFmtId="166">
      <sharedItems containsNonDate="0" containsString="0" containsBlank="1"/>
    </cacheField>
    <cacheField name="Aconex Doc Status" numFmtId="0">
      <sharedItems containsNonDate="0" containsString="0" containsBlank="1"/>
    </cacheField>
    <cacheField name="Aconex Review Status" numFmtId="0">
      <sharedItems containsNonDate="0" containsString="0" containsBlank="1"/>
    </cacheField>
    <cacheField name="% Complete" numFmtId="9">
      <sharedItems containsSemiMixedTypes="0" containsString="0" containsNumber="1" minValue="0" maxValue="0.333299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s v="6105A"/>
    <s v="K124"/>
    <x v="0"/>
    <x v="0"/>
    <s v="DDR"/>
    <s v="0001"/>
    <s v="A"/>
    <x v="0"/>
    <s v="Q24050972-08-0000-G-DDR-0001"/>
    <m/>
    <s v="General"/>
    <s v="PPE Contractor Document and Data List (CDDL)"/>
    <s v="CDDL"/>
    <s v="PPE Contractor Document and Data List (CDDL)"/>
    <m/>
    <m/>
    <m/>
    <m/>
    <n v="0"/>
  </r>
  <r>
    <s v="6105A"/>
    <s v="K124"/>
    <x v="1"/>
    <x v="1"/>
    <s v="DST"/>
    <s v="0001"/>
    <s v="A"/>
    <x v="1"/>
    <s v="Q24050972-03-6200-E-DST-0001"/>
    <m/>
    <s v="On-Site Power Supply and Transmission"/>
    <s v="Primary Electrical Reticulation Network - Solar PV Switchyard, Boreholes and Camp"/>
    <s v="Datasheet"/>
    <s v="On-Site Power Supply and Transmission - Primary Electrical Reticulation Network - Solar PV Switchyard, Boreholes and Camp - Datasheet"/>
    <m/>
    <m/>
    <m/>
    <m/>
    <n v="0"/>
  </r>
  <r>
    <s v="6105A"/>
    <s v="K124"/>
    <x v="1"/>
    <x v="1"/>
    <s v="SOW"/>
    <s v="0001"/>
    <s v="A"/>
    <x v="2"/>
    <s v="Q24050972-07-6200-E-SOW-0001"/>
    <m/>
    <s v="On-Site Power Supply and Transmission"/>
    <s v="Power Transformers &amp; NER"/>
    <s v="Scope of Work"/>
    <s v="On-Site Power Supply and Transmission - Power Transformers &amp; NER - Scope of Work"/>
    <m/>
    <m/>
    <m/>
    <m/>
    <n v="0"/>
  </r>
  <r>
    <s v="6105A"/>
    <s v="K124"/>
    <x v="1"/>
    <x v="1"/>
    <s v="DST"/>
    <s v="0016"/>
    <s v="A"/>
    <x v="3"/>
    <s v="Q24050972-07-6200-E-DST-0016"/>
    <s v="Sht 1 of 1"/>
    <s v="On-Site Power Supply and Transmission"/>
    <s v=" Main Consumer Sub "/>
    <s v="Layout"/>
    <s v="On-Site Power Supply and Transmission -  Main Consumer Sub  - Layout - Sht 1 of 1"/>
    <m/>
    <m/>
    <m/>
    <m/>
    <n v="0"/>
  </r>
  <r>
    <s v="6105A"/>
    <s v="K124"/>
    <x v="1"/>
    <x v="1"/>
    <s v="BOM"/>
    <s v="0001"/>
    <s v="A"/>
    <x v="4"/>
    <s v="Q24050972-07-6200-E-BOM-0001"/>
    <m/>
    <s v="On-Site Power Supply and Transmission"/>
    <s v="Neutral Earthing Compensator Resistor (33kV NECr)"/>
    <s v="Bill of Material"/>
    <s v="On-Site Power Supply and Transmission - Neutral Earthing Compensator Resistor (33kV NECr) - Bill of Material"/>
    <m/>
    <m/>
    <m/>
    <m/>
    <n v="0"/>
  </r>
  <r>
    <s v="6105A"/>
    <s v="K124"/>
    <x v="1"/>
    <x v="1"/>
    <s v="BOM"/>
    <s v="0002"/>
    <s v="A"/>
    <x v="5"/>
    <s v="Q24050972-07-6200-E-BOM-0002"/>
    <m/>
    <s v="On-Site Power Supply and Transmission"/>
    <s v="Neutral Earthing Reactor (11kV NER)"/>
    <s v="Bill of Material"/>
    <s v="On-Site Power Supply and Transmission - Neutral Earthing Reactor (11kV NER) - Bill of Material"/>
    <m/>
    <m/>
    <m/>
    <m/>
    <n v="0"/>
  </r>
  <r>
    <s v="6105A"/>
    <s v="K124"/>
    <x v="1"/>
    <x v="1"/>
    <s v="BOM"/>
    <s v="0003"/>
    <s v="A"/>
    <x v="6"/>
    <s v="Q24050972-07-6200-E-BOM-0003"/>
    <m/>
    <s v="On-Site Power Supply and Transmission"/>
    <s v="Power Transformers - 33/11kV - 25MVA"/>
    <s v="Bill of Material"/>
    <s v="On-Site Power Supply and Transmission - Power Transformers - 33/11kV - 25MVA - Bill of Material"/>
    <m/>
    <m/>
    <m/>
    <m/>
    <n v="0"/>
  </r>
  <r>
    <s v="6105A"/>
    <s v="K124"/>
    <x v="1"/>
    <x v="2"/>
    <s v="BOS"/>
    <s v="0001"/>
    <s v="A"/>
    <x v="7"/>
    <s v="Q24050972-07-6200-B-BOS-0001"/>
    <m/>
    <s v="On-Site Power Supply and Transmission"/>
    <s v="PPE EP &amp; CM Contractual Schedule"/>
    <s v="Basis of Schedule"/>
    <s v="On-Site Power Supply and Transmission - PPE EP &amp; CM Contractual Schedule - Basis of Schedule"/>
    <s v="08/09/2025"/>
    <m/>
    <m/>
    <m/>
    <n v="0.33329999999999999"/>
  </r>
  <r>
    <s v="6105A"/>
    <s v="K124"/>
    <x v="2"/>
    <x v="1"/>
    <s v="SOW"/>
    <s v="0001"/>
    <s v="A"/>
    <x v="8"/>
    <s v="Q24050972-06-6243-E-SOW-0001"/>
    <m/>
    <s v="220/33 kV Plant Main Substation"/>
    <s v="MV 33KV GIS Switchgear and Switch Room"/>
    <s v="Scope of Work"/>
    <s v="220/33 kV Plant Main Substation - MV 33KV GIS Switchgear and Switch Room - Scope of Work"/>
    <s v="08/09/2026"/>
    <m/>
    <m/>
    <m/>
    <n v="0.33329999999999999"/>
  </r>
  <r>
    <s v="6105A"/>
    <s v="K124"/>
    <x v="2"/>
    <x v="1"/>
    <s v="DST"/>
    <s v="0002"/>
    <s v="A"/>
    <x v="9"/>
    <s v="Q24050972-06-6243-E-DST-0002"/>
    <m/>
    <s v="220/33 kV Plant Main Substation"/>
    <s v="On-Site Power Supply &amp; Transmission MV 33kV Main Consumer Plant Switchgear"/>
    <s v="Datasheet"/>
    <s v="220/33 kV Plant Main Substation - On-Site Power Supply &amp; Transmission MV 33kV Main Consumer Plant Switchgear - Datasheet"/>
    <s v="08/09/2027"/>
    <m/>
    <m/>
    <m/>
    <n v="0.33329999999999999"/>
  </r>
  <r>
    <s v="6105A"/>
    <s v="K124"/>
    <x v="2"/>
    <x v="1"/>
    <s v="DST"/>
    <s v="0003"/>
    <s v="A"/>
    <x v="10"/>
    <s v="Q24050972-06-6243-E-DST-0003"/>
    <m/>
    <s v="220/33 kV Plant Main Substation"/>
    <s v="On-Site Power Supply &amp; Distribution  - 33kV Indoor  Switchgear"/>
    <s v="Datasheet"/>
    <s v="220/33 kV Plant Main Substation - On-Site Power Supply &amp; Distribution  - 33kV Indoor  Switchgear - Datasheet"/>
    <s v="08/09/2028"/>
    <m/>
    <m/>
    <m/>
    <n v="0.33329999999999999"/>
  </r>
  <r>
    <s v="6105A"/>
    <s v="K124"/>
    <x v="2"/>
    <x v="1"/>
    <s v="DST"/>
    <s v="0004"/>
    <s v="A"/>
    <x v="11"/>
    <s v="Q24050972-06-6243-E-DST-0004"/>
    <m/>
    <s v="220/33 kV Plant Main Substation"/>
    <s v=" 33kV Distribution Switch Rooms  -  4 x Battery Tripping Units (110V DC)"/>
    <s v="Datasheet"/>
    <s v="220/33 kV Plant Main Substation -  33kV Distribution Switch Rooms  -  4 x Battery Tripping Units (110V DC) - Datasheet"/>
    <s v="08/09/2029"/>
    <m/>
    <m/>
    <m/>
    <n v="0.33329999999999999"/>
  </r>
  <r>
    <s v="6105A"/>
    <s v="K124"/>
    <x v="2"/>
    <x v="1"/>
    <s v="DST"/>
    <s v="0005"/>
    <s v="A"/>
    <x v="12"/>
    <s v="Q24050972-06-6243-E-DST-0005"/>
    <m/>
    <s v="220/33 kV Plant Main Substation"/>
    <s v="Specification for 300mm², 33kV, Single-Core, Unarmored Aluminium Cable"/>
    <s v="Datasheet"/>
    <s v="220/33 kV Plant Main Substation - Specification for 300mm², 33kV, Single-Core, Unarmored Aluminium Cable - Datasheet"/>
    <s v="08/09/2030"/>
    <m/>
    <m/>
    <m/>
    <n v="0.33329999999999999"/>
  </r>
  <r>
    <s v="6105A"/>
    <s v="K124"/>
    <x v="2"/>
    <x v="1"/>
    <s v="SLD"/>
    <s v="0001"/>
    <s v="A"/>
    <x v="13"/>
    <s v="Q24050972-07-6243-E-SLD-0001"/>
    <s v="Sht 1 of 1"/>
    <s v="220/33 kV Plant Main Substation"/>
    <s v="Primary Electrical Reticulation Network - Main Consumer Plant Reticulation"/>
    <s v="Single Line Diagram"/>
    <s v="220/33 kV Plant Main Substation - Primary Electrical Reticulation Network - Main Consumer Plant Reticulation - Single Line Diagram - Sht 1 of 1"/>
    <s v="08/09/2031"/>
    <m/>
    <m/>
    <m/>
    <n v="0.33329999999999999"/>
  </r>
  <r>
    <s v="6105A"/>
    <s v="K124"/>
    <x v="3"/>
    <x v="1"/>
    <s v="SOW"/>
    <s v="0001"/>
    <s v="A"/>
    <x v="14"/>
    <s v="Q24050972-07-6250-E-SOW-0001"/>
    <m/>
    <s v="Power Conditioning Equipment"/>
    <s v="Synchronous Condenser"/>
    <s v="Scope of Work"/>
    <s v="Power Conditioning Equipment - Synchronous Condenser - Scope of Work"/>
    <s v="08/09/2032"/>
    <m/>
    <m/>
    <m/>
    <n v="0.33329999999999999"/>
  </r>
  <r>
    <s v="6105A"/>
    <s v="K124"/>
    <x v="3"/>
    <x v="1"/>
    <s v="REQ"/>
    <s v="0001"/>
    <s v="A"/>
    <x v="15"/>
    <s v="Q24050972-07-6250-E-REQ-0001"/>
    <m/>
    <s v="Power Conditioning Equipment"/>
    <s v="Synchronous Condenser"/>
    <s v="Request"/>
    <s v="Power Conditioning Equipment - Synchronous Condenser - Request"/>
    <s v="08/09/2033"/>
    <m/>
    <m/>
    <m/>
    <n v="0.33329999999999999"/>
  </r>
  <r>
    <s v="6105A"/>
    <s v="K124"/>
    <x v="3"/>
    <x v="1"/>
    <s v="DST"/>
    <s v="0001"/>
    <s v="A"/>
    <x v="16"/>
    <s v="Q24050972-07-6250-E-DST-0001"/>
    <m/>
    <s v="Power Conditioning Equipment"/>
    <s v="Synchronous Condenser and Excitation System"/>
    <s v="Datasheet"/>
    <s v="Power Conditioning Equipment - Synchronous Condenser and Excitation System - Datasheet"/>
    <s v="08/09/2034"/>
    <m/>
    <m/>
    <m/>
    <n v="0.33329999999999999"/>
  </r>
  <r>
    <s v="6105A"/>
    <s v="K124"/>
    <x v="3"/>
    <x v="1"/>
    <s v="SLD"/>
    <s v="0001"/>
    <s v="A"/>
    <x v="17"/>
    <s v="Q24050972-07-6250-E-SLD-0001"/>
    <s v="Sht 1 of 1"/>
    <s v="Power Conditioning Equipment"/>
    <s v="Primary Electrical Reticulation Network - Synchronous Condensers Preliminary Design "/>
    <s v="Single Line Diagram"/>
    <s v="Power Conditioning Equipment - Primary Electrical Reticulation Network - Synchronous Condensers Preliminary Design  - Single Line Diagram - Sht 1 of 1"/>
    <s v="08/09/2035"/>
    <m/>
    <m/>
    <m/>
    <n v="0.33329999999999999"/>
  </r>
  <r>
    <s v="6105A"/>
    <s v="K124"/>
    <x v="4"/>
    <x v="1"/>
    <s v="SLD"/>
    <s v="0001"/>
    <s v="A"/>
    <x v="18"/>
    <s v="Q24050972-04-6260-E-SLD-0001"/>
    <s v="Sht 1 of 1"/>
    <s v="Emergency Power Generation"/>
    <s v="11kV Emergency Power Substation"/>
    <s v="Single Line Diagram"/>
    <s v="Emergency Power Generation - 11kV Emergency Power Substation - Single Line Diagram - Sht 1 of 1"/>
    <s v="08/09/2036"/>
    <m/>
    <m/>
    <m/>
    <n v="0.33329999999999999"/>
  </r>
  <r>
    <s v="6105A"/>
    <s v="K124"/>
    <x v="4"/>
    <x v="1"/>
    <s v="GAD"/>
    <s v="0002"/>
    <s v="A"/>
    <x v="19"/>
    <s v="Q24050972-04-6260-E-GAD-0002"/>
    <s v="Sht 1 of 1"/>
    <s v="Emergency Power Generation"/>
    <s v="MV Switch Board "/>
    <s v="General Arrangement"/>
    <s v="Emergency Power Generation - MV Switch Board  - General Arrangement - Sht 1 of 1"/>
    <s v="08/09/2037"/>
    <m/>
    <m/>
    <m/>
    <n v="0.33329999999999999"/>
  </r>
  <r>
    <s v="6105A"/>
    <s v="K124"/>
    <x v="4"/>
    <x v="1"/>
    <s v="DST"/>
    <s v="0005"/>
    <s v="A"/>
    <x v="20"/>
    <s v="Q24050972-04-6260-E-DST-0005"/>
    <m/>
    <s v="Emergency Power Generation"/>
    <s v="Battery Tripping Unit (BTU) (110Vdc)"/>
    <s v="Datasheet"/>
    <s v="Emergency Power Generation - Battery Tripping Unit (BTU) (110Vdc) - Datasheet"/>
    <s v="08/09/2038"/>
    <m/>
    <m/>
    <m/>
    <n v="0.33329999999999999"/>
  </r>
  <r>
    <s v="6105A"/>
    <s v="K124"/>
    <x v="4"/>
    <x v="1"/>
    <s v="DST"/>
    <s v="0008"/>
    <s v="A"/>
    <x v="21"/>
    <s v="Q24050972-04-6260-E-DST-0008"/>
    <m/>
    <s v="Emergency Power Generation"/>
    <s v=" Neutral Earthing Compensator Resistor (33kV NECr)"/>
    <s v="Datasheet"/>
    <s v="Emergency Power Generation -  Neutral Earthing Compensator Resistor (33kV NECr) - Datasheet"/>
    <m/>
    <m/>
    <m/>
    <m/>
    <n v="0"/>
  </r>
  <r>
    <s v="6105A"/>
    <s v="K124"/>
    <x v="4"/>
    <x v="1"/>
    <s v="SOW"/>
    <s v="0003"/>
    <s v="A"/>
    <x v="22"/>
    <s v="Q24050972-06-6260-E-SOW-0003"/>
    <m/>
    <s v="Emergency Power Generation"/>
    <s v="Power Transformers"/>
    <s v="Scope of Work"/>
    <s v="Emergency Power Generation - Power Transformers - Scope of Work"/>
    <m/>
    <m/>
    <m/>
    <m/>
    <n v="0"/>
  </r>
  <r>
    <s v="6105A"/>
    <s v="K124"/>
    <x v="4"/>
    <x v="1"/>
    <s v="SLD"/>
    <s v="0002"/>
    <s v="A"/>
    <x v="23"/>
    <s v="Q24050972-06-6260-E-SLD-0002"/>
    <s v="Sht 1 of 3"/>
    <s v="Emergency Power Generation"/>
    <s v=" Auxiliary 400V AC Panel"/>
    <s v="Single Line Diagram"/>
    <s v="Emergency Power Generation -  Auxiliary 400V AC Panel - Single Line Diagram - Sht 1 of 3"/>
    <m/>
    <m/>
    <m/>
    <m/>
    <n v="0"/>
  </r>
  <r>
    <s v="6105A"/>
    <s v="K124"/>
    <x v="4"/>
    <x v="1"/>
    <s v="SLD"/>
    <s v="0003"/>
    <s v="A"/>
    <x v="24"/>
    <s v="Q24050972-06-6260-E-SLD-0003"/>
    <s v="Sht 2 of 3"/>
    <s v="Emergency Power Generation"/>
    <s v=" Auxiliary 400V AC Panel"/>
    <s v="Single Line Diagram"/>
    <s v="Emergency Power Generation -  Auxiliary 400V AC Panel - Single Line Diagram - Sht 2 of 3"/>
    <m/>
    <m/>
    <m/>
    <m/>
    <n v="0"/>
  </r>
  <r>
    <s v="6105A"/>
    <s v="K124"/>
    <x v="4"/>
    <x v="1"/>
    <s v="SLD"/>
    <s v="0004"/>
    <s v="A"/>
    <x v="25"/>
    <s v="Q24050972-06-6260-E-SLD-0004"/>
    <s v="Sht 3 of 3"/>
    <s v="Emergency Power Generation"/>
    <s v=" Auxiliary 400V AC Panel"/>
    <s v="Single Line Diagram"/>
    <s v="Emergency Power Generation -  Auxiliary 400V AC Panel - Single Line Diagram - Sht 3 of 3"/>
    <m/>
    <m/>
    <m/>
    <m/>
    <n v="0"/>
  </r>
  <r>
    <s v="6105A"/>
    <s v="K124"/>
    <x v="4"/>
    <x v="1"/>
    <s v="DST"/>
    <s v="0016"/>
    <s v="A"/>
    <x v="26"/>
    <s v="Q24050972-07-6260-E-DST-0016"/>
    <m/>
    <s v="Emergency Power Generation"/>
    <s v=" 630kVA Mini-substation (11/0.4kV)"/>
    <s v="Datasheet"/>
    <s v="Emergency Power Generation -  630kVA Mini-substation (11/0.4kV) - Datasheet"/>
    <m/>
    <m/>
    <m/>
    <m/>
    <n v="0"/>
  </r>
  <r>
    <s v="6105A"/>
    <s v="K124"/>
    <x v="4"/>
    <x v="1"/>
    <s v="GAD"/>
    <s v="0005"/>
    <s v="A"/>
    <x v="27"/>
    <s v="Q24050972-07-6260-E-GAD-0005"/>
    <s v="Sht 1 of 8"/>
    <s v="Emergency Power Generation"/>
    <s v="Bulk Fuel Storage Facility"/>
    <s v="General Arrangement"/>
    <s v="Emergency Power Generation - Bulk Fuel Storage Facility - General Arrangement - Sht 1 of 8"/>
    <m/>
    <m/>
    <m/>
    <m/>
    <n v="0"/>
  </r>
  <r>
    <s v="6105A"/>
    <s v="K124"/>
    <x v="4"/>
    <x v="1"/>
    <s v="GAD"/>
    <s v="0006"/>
    <s v="A"/>
    <x v="28"/>
    <s v="Q24050972-07-6260-E-GAD-0006"/>
    <s v="Sht 2 of 8"/>
    <s v="Emergency Power Generation"/>
    <s v="Pump house - Fuel Polish Isometric Arrangement"/>
    <s v="General Arrangement"/>
    <s v="Emergency Power Generation - Pump house - Fuel Polish Isometric Arrangement - General Arrangement - Sht 2 of 8"/>
    <m/>
    <m/>
    <m/>
    <m/>
    <n v="0"/>
  </r>
  <r>
    <s v="6105A"/>
    <s v="K124"/>
    <x v="4"/>
    <x v="1"/>
    <s v="GAD"/>
    <s v="0007"/>
    <s v="A"/>
    <x v="29"/>
    <s v="Q24050972-07-6260-E-GAD-0007"/>
    <s v="Sht 3 of 8"/>
    <s v="Emergency Power Generation"/>
    <s v=" Bulk Fuel Storage Facility - Pump House - Fuel Polishing System"/>
    <s v="General Arrangement"/>
    <s v="Emergency Power Generation -  Bulk Fuel Storage Facility - Pump House - Fuel Polishing System - General Arrangement - Sht 3 of 8"/>
    <m/>
    <m/>
    <m/>
    <m/>
    <n v="0"/>
  </r>
  <r>
    <s v="6105A"/>
    <s v="K124"/>
    <x v="4"/>
    <x v="1"/>
    <s v="GAD"/>
    <s v="0008"/>
    <s v="A"/>
    <x v="30"/>
    <s v="Q24050972-07-6260-E-GAD-0008"/>
    <s v="Sht 4 of 8"/>
    <s v="Emergency Power Generation"/>
    <s v="Bulk Fuel Storage Facility - Pump House - Fuel Transfer"/>
    <s v="General Arrangement"/>
    <s v="Emergency Power Generation - Bulk Fuel Storage Facility - Pump House - Fuel Transfer - General Arrangement - Sht 4 of 8"/>
    <m/>
    <m/>
    <m/>
    <m/>
    <n v="0"/>
  </r>
  <r>
    <s v="6105A"/>
    <s v="K124"/>
    <x v="4"/>
    <x v="1"/>
    <s v="GAD"/>
    <s v="0009"/>
    <s v="A"/>
    <x v="31"/>
    <s v="Q24050972-07-6260-E-GAD-0009"/>
    <s v="Sht 5 of 8"/>
    <s v="Emergency Power Generation"/>
    <s v=" Bulk Fuel Storage Facility - Pump House - Fuel Transfer"/>
    <s v="General Arrangement"/>
    <s v="Emergency Power Generation -  Bulk Fuel Storage Facility - Pump House - Fuel Transfer - General Arrangement - Sht 5 of 8"/>
    <m/>
    <m/>
    <m/>
    <m/>
    <n v="0"/>
  </r>
  <r>
    <s v="6105A"/>
    <s v="K124"/>
    <x v="4"/>
    <x v="1"/>
    <s v="GAD"/>
    <s v="0010"/>
    <s v="A"/>
    <x v="32"/>
    <s v="Q24050972-07-6260-E-GAD-0010"/>
    <s v="Sht 6 of 8"/>
    <s v="Emergency Power Generation"/>
    <s v="Pump house - Off-load system Isometric Arrangement"/>
    <s v="General Arrangement"/>
    <s v="Emergency Power Generation - Pump house - Off-load system Isometric Arrangement - General Arrangement - Sht 6 of 8"/>
    <m/>
    <m/>
    <m/>
    <m/>
    <n v="0"/>
  </r>
  <r>
    <s v="6105A"/>
    <s v="K124"/>
    <x v="4"/>
    <x v="1"/>
    <s v="GAD"/>
    <s v="0011"/>
    <s v="A"/>
    <x v="33"/>
    <s v="Q24050972-07-6260-E-GAD-0011"/>
    <s v="Sht 7 of 8"/>
    <s v="Emergency Power Generation"/>
    <s v="Bulk Fuel Offloading and Distribution System "/>
    <s v="General Arrangement"/>
    <s v="Emergency Power Generation - Bulk Fuel Offloading and Distribution System  - General Arrangement - Sht 7 of 8"/>
    <m/>
    <m/>
    <m/>
    <m/>
    <n v="0"/>
  </r>
  <r>
    <s v="6105A"/>
    <s v="K124"/>
    <x v="4"/>
    <x v="1"/>
    <s v="GAD"/>
    <s v="0012"/>
    <s v="A"/>
    <x v="34"/>
    <s v="Q24050972-08-6260-E-GAD-0012"/>
    <s v="Sht 8 of 8"/>
    <s v="Emergency Power Generation"/>
    <s v=" Bulk Fuel Storage  Facility-Pump House-Off-Load System"/>
    <s v="General Arrangement"/>
    <s v="Emergency Power Generation -  Bulk Fuel Storage  Facility-Pump House-Off-Load System - General Arrangement - Sht 8 of 8"/>
    <m/>
    <m/>
    <m/>
    <m/>
    <n v="0"/>
  </r>
  <r>
    <s v="6105A"/>
    <s v="K124"/>
    <x v="5"/>
    <x v="3"/>
    <s v="GAD"/>
    <s v="0001"/>
    <s v="A"/>
    <x v="35"/>
    <s v="Q24050972-07-6262-M-GAD-0001"/>
    <s v="Sht 1 of 1"/>
    <s v="Emergency Power Substation 1 and Control Room 1"/>
    <s v="11kVA MV E-house type 1A"/>
    <s v="External Views"/>
    <s v="Emergency Power Substation 1 and Control Room 1 - 11kVA MV E-house type 1A - External Views - Sht 1 of 1"/>
    <m/>
    <m/>
    <m/>
    <m/>
    <n v="0"/>
  </r>
  <r>
    <s v="6105A"/>
    <s v="K124"/>
    <x v="5"/>
    <x v="3"/>
    <s v="GAD"/>
    <s v="0002"/>
    <s v="A"/>
    <x v="36"/>
    <s v="Q24050972-07-6262-M-GAD-0002"/>
    <s v="Sht 1 of 1"/>
    <s v="Emergency Power Substation 1 and Control Room 1"/>
    <s v="11kVA MV E-house type 1A"/>
    <s v="Internal Views"/>
    <s v="Emergency Power Substation 1 and Control Room 1 - 11kVA MV E-house type 1A - Internal Views - Sht 1 of 1"/>
    <m/>
    <m/>
    <m/>
    <m/>
    <n v="0"/>
  </r>
  <r>
    <s v="6105A"/>
    <s v="K124"/>
    <x v="5"/>
    <x v="3"/>
    <s v="GAD"/>
    <s v="0003"/>
    <s v="A"/>
    <x v="37"/>
    <s v="Q24050972-07-6262-M-GAD-0003"/>
    <s v="Sht 1 of 1"/>
    <s v="Emergency Power Substation 1 and Control Room 1"/>
    <s v="11kVA MV E-house type 1A"/>
    <s v="Plan Views"/>
    <s v="Emergency Power Substation 1 and Control Room 1 - 11kVA MV E-house type 1A - Plan Views - Sht 1 of 1"/>
    <m/>
    <m/>
    <m/>
    <m/>
    <n v="0"/>
  </r>
  <r>
    <s v="6105A"/>
    <s v="K124"/>
    <x v="5"/>
    <x v="3"/>
    <s v="GAD"/>
    <s v="0004"/>
    <s v="A"/>
    <x v="38"/>
    <s v="Q24050972-07-6262-M-GAD-0004"/>
    <s v="Sht 1 of 1"/>
    <s v="Emergency Power Substation 1 and Control Room 1"/>
    <s v="11kVA MV E-house type 1A"/>
    <s v="Paint Schedule"/>
    <s v="Emergency Power Substation 1 and Control Room 1 - 11kVA MV E-house type 1A - Paint Schedule - Sht 1 of 1"/>
    <m/>
    <m/>
    <m/>
    <m/>
    <n v="0"/>
  </r>
  <r>
    <s v="6105A"/>
    <s v="K124"/>
    <x v="5"/>
    <x v="3"/>
    <s v="GAD"/>
    <s v="0005"/>
    <s v="A"/>
    <x v="39"/>
    <s v="Q24050972-07-6262-M-GAD-0005"/>
    <s v="Sht 1 of 1"/>
    <s v="Emergency Power Substation 1 and Control Room 1"/>
    <s v="11kVA MV E-house type 1A"/>
    <s v="Signage Schedule"/>
    <s v="Emergency Power Substation 1 and Control Room 1 - 11kVA MV E-house type 1A - Signage Schedule - Sht 1 of 1"/>
    <m/>
    <m/>
    <m/>
    <m/>
    <n v="0"/>
  </r>
  <r>
    <s v="6105A"/>
    <s v="K124"/>
    <x v="5"/>
    <x v="3"/>
    <s v="GAD"/>
    <s v="0010"/>
    <s v="A"/>
    <x v="40"/>
    <s v="Q24050972-08-6262-M-GAD-0010"/>
    <s v="Sht 1 of 1"/>
    <s v="Emergency Power Substation 1 and Control Room 1"/>
    <s v="11kVA MV E-house type 1B"/>
    <s v="Signage Schedule"/>
    <s v="Emergency Power Substation 1 and Control Room 1 - 11kVA MV E-house type 1B - Signage Schedule - Sht 1 of 1"/>
    <m/>
    <m/>
    <m/>
    <m/>
    <n v="0"/>
  </r>
  <r>
    <s v="6105A"/>
    <s v="K124"/>
    <x v="5"/>
    <x v="1"/>
    <s v="DST"/>
    <s v="0004"/>
    <s v="A"/>
    <x v="41"/>
    <s v="Q24050972-08-6262-E-DST-0004"/>
    <s v="Sht 1 of 1"/>
    <s v="Emergency Power Generation"/>
    <s v="11kVA MV E-house type 1B"/>
    <s v="Internal Views"/>
    <s v="Emergency Power Generation - 11kVA MV E-house type 1B - Internal Views - Sht 1 of 1"/>
    <m/>
    <m/>
    <m/>
    <m/>
    <n v="0"/>
  </r>
  <r>
    <s v="6105A"/>
    <s v="K124"/>
    <x v="5"/>
    <x v="3"/>
    <s v="GAD"/>
    <s v="0006"/>
    <s v="A"/>
    <x v="42"/>
    <s v="Q24050972-08-6262-M-GAD-0006"/>
    <s v="Sht 1 of 1"/>
    <s v="Emergency Power Substation 1 and Control Room 1"/>
    <s v="11kVA MV E-house type 1B"/>
    <s v="External Views"/>
    <s v="Emergency Power Substation 1 and Control Room 1 - 11kVA MV E-house type 1B - External Views - Sht 1 of 1"/>
    <m/>
    <m/>
    <m/>
    <m/>
    <n v="0"/>
  </r>
  <r>
    <s v="6105A"/>
    <s v="K124"/>
    <x v="5"/>
    <x v="3"/>
    <s v="GAD"/>
    <s v="0007"/>
    <s v="A"/>
    <x v="43"/>
    <s v="Q24050972-08-6262-M-GAD-0007"/>
    <s v="Sht 1 of 1"/>
    <s v="Emergency Power Substation 1 and Control Room 1"/>
    <s v="11kVA MV E-house type 1B"/>
    <s v="Internal Views"/>
    <s v="Emergency Power Substation 1 and Control Room 1 - 11kVA MV E-house type 1B - Internal Views - Sht 1 of 1"/>
    <m/>
    <m/>
    <m/>
    <m/>
    <n v="0"/>
  </r>
  <r>
    <s v="6105A"/>
    <s v="K124"/>
    <x v="5"/>
    <x v="3"/>
    <s v="GAD"/>
    <s v="0008"/>
    <s v="A"/>
    <x v="44"/>
    <s v="Q24050972-08-6262-M-GAD-0008"/>
    <s v="Sht 1 of 1"/>
    <s v="Emergency Power Substation 1 and Control Room 1"/>
    <s v="11kVA MV E-house type 1B"/>
    <s v="Plan Views"/>
    <s v="Emergency Power Substation 1 and Control Room 1 - 11kVA MV E-house type 1B - Plan Views - Sht 1 of 1"/>
    <m/>
    <m/>
    <m/>
    <m/>
    <n v="0"/>
  </r>
  <r>
    <s v="6105A"/>
    <s v="K124"/>
    <x v="5"/>
    <x v="3"/>
    <s v="GAD"/>
    <s v="0009"/>
    <s v="A"/>
    <x v="45"/>
    <s v="Q24050972-08-6262-M-GAD-0009"/>
    <s v="Sht 1 of 1"/>
    <s v="Emergency Power Substation 1 and Control Room 1"/>
    <s v="11kVA MV E-house type 1B"/>
    <s v="Paint Schedule"/>
    <s v="Emergency Power Substation 1 and Control Room 1 - 11kVA MV E-house type 1B - Paint Schedule - Sht 1 of 1"/>
    <m/>
    <m/>
    <m/>
    <m/>
    <n v="0"/>
  </r>
  <r>
    <s v="6105A"/>
    <s v="K124"/>
    <x v="5"/>
    <x v="1"/>
    <s v="SOW"/>
    <s v="0001"/>
    <s v="A"/>
    <x v="46"/>
    <s v="Q24050972-07-6262-E-SOW-0001"/>
    <m/>
    <s v="Emergency Power Substation 1 and Control Room 1"/>
    <s v="MV Switchroom &amp; MV Switchgear"/>
    <s v="Scope of Work"/>
    <s v="Emergency Power Substation 1 and Control Room 1 - MV Switchroom &amp; MV Switchgear - Scope of Work"/>
    <m/>
    <m/>
    <m/>
    <m/>
    <n v="0"/>
  </r>
  <r>
    <s v="6105A"/>
    <s v="K124"/>
    <x v="5"/>
    <x v="1"/>
    <s v="DST"/>
    <s v="0001"/>
    <s v="A"/>
    <x v="47"/>
    <s v="Q24050972-07-6262-E-DST-0001"/>
    <m/>
    <s v="Emergency Power Substation 1 and Control Room 1"/>
    <s v="Auxiliary 400V AC Panel "/>
    <s v="Datasheet"/>
    <s v="Emergency Power Substation 1 and Control Room 1 - Auxiliary 400V AC Panel  - Datasheet"/>
    <m/>
    <m/>
    <m/>
    <m/>
    <n v="0"/>
  </r>
  <r>
    <s v="6105A"/>
    <s v="K124"/>
    <x v="5"/>
    <x v="1"/>
    <s v="DST"/>
    <s v="0002"/>
    <s v="A"/>
    <x v="48"/>
    <s v="Q24050972-07-6262-E-DST-0002"/>
    <m/>
    <s v="Emergency Power Substation 1 and Control Room 1"/>
    <s v=" Auxiliary 230V AC Battery Back-up Supply"/>
    <s v="Datasheet"/>
    <s v="Emergency Power Substation 1 and Control Room 1 -  Auxiliary 230V AC Battery Back-up Supply - Datasheet"/>
    <m/>
    <m/>
    <m/>
    <m/>
    <n v="0"/>
  </r>
  <r>
    <s v="6105A"/>
    <s v="K124"/>
    <x v="5"/>
    <x v="1"/>
    <s v="DST"/>
    <s v="0003"/>
    <s v="A"/>
    <x v="49"/>
    <s v="Q24050972-07-6262-E-DST-0003"/>
    <m/>
    <s v="Emergency Power Substation 1 and Control Room 1"/>
    <s v=" 11kV MV Switchgear "/>
    <s v="Datasheet"/>
    <s v="Emergency Power Substation 1 and Control Room 1 -  11kV MV Switchgear  - Datasheet"/>
    <m/>
    <m/>
    <m/>
    <m/>
    <n v="0"/>
  </r>
  <r>
    <s v="6105A"/>
    <s v="K124"/>
    <x v="6"/>
    <x v="1"/>
    <s v="SOW"/>
    <s v="0001"/>
    <s v="A"/>
    <x v="50"/>
    <s v="Q24050972-07-6263-E-SOW-0001"/>
    <m/>
    <s v="36 MVA Power Station 1"/>
    <s v="20 MW 11kV Load banks"/>
    <s v="Scope of Work"/>
    <s v="36 MVA Power Station 1 - 20 MW 11kV Load banks - Scope of Work"/>
    <m/>
    <m/>
    <m/>
    <m/>
    <n v="0"/>
  </r>
  <r>
    <s v="6105A"/>
    <s v="K124"/>
    <x v="6"/>
    <x v="1"/>
    <s v="DST"/>
    <s v="0002"/>
    <s v="A"/>
    <x v="51"/>
    <s v="Q24050972-07-6263-E-DST-0002"/>
    <m/>
    <s v="36 MVA Power Station 1"/>
    <s v="20 MW 11kV Load Banks"/>
    <s v="Datasheet"/>
    <s v="36 MVA Power Station 1 - 20 MW 11kV Load Banks - Datasheet"/>
    <m/>
    <m/>
    <m/>
    <m/>
    <n v="0"/>
  </r>
  <r>
    <s v="6105A"/>
    <s v="K124"/>
    <x v="6"/>
    <x v="1"/>
    <s v="SOW"/>
    <s v="0002"/>
    <s v="A"/>
    <x v="52"/>
    <s v="Q24050972-07-6263-E-SOW-0002"/>
    <m/>
    <s v="36 MVA Power Station 1"/>
    <s v="High Speed Diesel Generators"/>
    <s v="Scope of Work"/>
    <s v="36 MVA Power Station 1 - High Speed Diesel Generators - Scope of Work"/>
    <m/>
    <m/>
    <m/>
    <m/>
    <n v="0"/>
  </r>
  <r>
    <s v="6105A"/>
    <s v="K124"/>
    <x v="6"/>
    <x v="1"/>
    <s v="BOM"/>
    <s v="0001"/>
    <s v="A"/>
    <x v="53"/>
    <s v="Q24050972-07-6263-E-BOM-0001"/>
    <m/>
    <s v="36 MVA Power Station 1"/>
    <s v="High Speed Diesel Generators"/>
    <s v="Bill of Material"/>
    <s v="36 MVA Power Station 1 - High Speed Diesel Generators - Bill of Material"/>
    <m/>
    <m/>
    <m/>
    <m/>
    <n v="0"/>
  </r>
  <r>
    <s v="6105A"/>
    <s v="K124"/>
    <x v="6"/>
    <x v="1"/>
    <s v="DST"/>
    <s v="0003"/>
    <s v="A"/>
    <x v="54"/>
    <s v="Q24050972-07-6263-E-DST-0003"/>
    <m/>
    <s v="36 MVA Power Station 1"/>
    <s v="High Speed Diesel Generators"/>
    <s v="Datasheet"/>
    <s v="36 MVA Power Station 1 - High Speed Diesel Generators - Datasheet"/>
    <m/>
    <m/>
    <m/>
    <m/>
    <n v="0"/>
  </r>
  <r>
    <s v="6105A"/>
    <s v="K124"/>
    <x v="6"/>
    <x v="1"/>
    <s v="DST"/>
    <s v="0004"/>
    <s v="A"/>
    <x v="55"/>
    <s v="Q24050972-07-6263-E-DST-0004"/>
    <m/>
    <s v="36 MVA Power Station 1"/>
    <s v="Neutral Earthing Resistor (11kV NER)"/>
    <s v="Datasheet"/>
    <s v="36 MVA Power Station 1 - Neutral Earthing Resistor (11kV NER) - Datasheet"/>
    <m/>
    <m/>
    <m/>
    <m/>
    <n v="0"/>
  </r>
  <r>
    <s v="6105A"/>
    <s v="K124"/>
    <x v="6"/>
    <x v="1"/>
    <s v="DST"/>
    <s v="0005"/>
    <s v="A"/>
    <x v="56"/>
    <s v="Q24050972-07-6263-E-DST-0005"/>
    <m/>
    <s v="36 MVA Power Station 1"/>
    <s v="11kV RMU for Load Banks"/>
    <s v="Datasheet"/>
    <s v="36 MVA Power Station 1 - 11kV RMU for Load Banks - Datasheet"/>
    <m/>
    <m/>
    <m/>
    <m/>
    <n v="0"/>
  </r>
  <r>
    <s v="6105A"/>
    <s v="K124"/>
    <x v="7"/>
    <x v="1"/>
    <s v="DST"/>
    <s v="0001"/>
    <s v="A"/>
    <x v="57"/>
    <s v="Q24050972-08-6264-E-DST-0001"/>
    <m/>
    <s v="Bulk Diesel Storage 1"/>
    <s v="Bulk Fuel Tanks"/>
    <s v="Datasheet"/>
    <s v="Bulk Diesel Storage 1 - Bulk Fuel Tanks - Datasheet"/>
    <m/>
    <m/>
    <m/>
    <m/>
    <n v="0"/>
  </r>
  <r>
    <s v="6105A"/>
    <s v="K124"/>
    <x v="7"/>
    <x v="1"/>
    <s v="SOW"/>
    <s v="0001"/>
    <s v="A"/>
    <x v="58"/>
    <s v="Q24050972-08-6264-E-SOW-0001"/>
    <m/>
    <s v="Bulk Diesel Storage 1"/>
    <s v=" Bulk Fuel Tanks"/>
    <s v="Scope of Work"/>
    <s v="Bulk Diesel Storage 1 -  Bulk Fuel Tanks - Scope of Work"/>
    <m/>
    <m/>
    <m/>
    <m/>
    <n v="0"/>
  </r>
  <r>
    <s v="6105A"/>
    <s v="K124"/>
    <x v="8"/>
    <x v="1"/>
    <s v="SLD"/>
    <s v="0001"/>
    <s v="A"/>
    <x v="59"/>
    <s v="Q24050972-06-6280-E-SLD-0001"/>
    <s v="Sht 1 of 1"/>
    <s v="Medium Voltage (33 kV) Overhead Powerlines"/>
    <s v="Primary Electrical Reticulation Network - 33kV Open Pit Substation"/>
    <s v="Single Line Diagram"/>
    <s v="Medium Voltage (33 kV) Overhead Powerlines - Primary Electrical Reticulation Network - 33kV Open Pit Substation - Single Line Diagram - Sht 1 of 1"/>
    <m/>
    <m/>
    <m/>
    <m/>
    <n v="0"/>
  </r>
  <r>
    <s v="6105A"/>
    <s v="K124"/>
    <x v="9"/>
    <x v="1"/>
    <s v="GAD"/>
    <s v="0001"/>
    <s v="A"/>
    <x v="60"/>
    <s v="Q24050972-08-6286-E-GAD-0001"/>
    <s v="Sht 1 of 1"/>
    <s v="Mining Open Pit"/>
    <s v="Mining Substation"/>
    <s v="General Arrangement"/>
    <s v="Mining Open Pit - Mining Substation - General Arrangement - Sht 1 of 1"/>
    <m/>
    <m/>
    <m/>
    <m/>
    <n v="0"/>
  </r>
  <r>
    <s v="6105A"/>
    <s v="K124"/>
    <x v="9"/>
    <x v="1"/>
    <s v="DST"/>
    <s v="0001"/>
    <s v="A"/>
    <x v="61"/>
    <s v="Q24050972-06-6286-E-DST-0001"/>
    <m/>
    <s v="Mining Open Pit"/>
    <s v="On-Site Power Supply &amp; Transmission_ MV 33kV  Mining Sub MV Switchgear"/>
    <s v="Datasheet"/>
    <s v="Mining Open Pit - On-Site Power Supply &amp; Transmission_ MV 33kV  Mining Sub MV Switchgear - Datasheet"/>
    <m/>
    <m/>
    <m/>
    <m/>
    <n v="0"/>
  </r>
  <r>
    <s v="6105A"/>
    <s v="K124"/>
    <x v="9"/>
    <x v="1"/>
    <s v="DST"/>
    <s v="0002"/>
    <s v="A"/>
    <x v="62"/>
    <s v="Q24050972-07-6286-E-DST-0002"/>
    <m/>
    <s v="Mining Open Pit"/>
    <s v="11kV Substation"/>
    <s v="Datasheet"/>
    <s v="Mining Open Pit - 11kV Substation - Datasheet"/>
    <m/>
    <m/>
    <m/>
    <m/>
    <n v="0"/>
  </r>
  <r>
    <s v="6105A"/>
    <s v="K124"/>
    <x v="9"/>
    <x v="1"/>
    <s v="DTL"/>
    <s v="0001"/>
    <s v="A"/>
    <x v="63"/>
    <s v="Q24050972-07-6286-E-DTL-0001"/>
    <s v="Sht 3 of 3"/>
    <s v="Mining Open Pit"/>
    <s v="Auxiliary 400V AC Panel 2"/>
    <s v="Details"/>
    <s v="Mining Open Pit - Auxiliary 400V AC Panel 2 - Details - Sht 3 of 3"/>
    <m/>
    <m/>
    <m/>
    <m/>
    <n v="0"/>
  </r>
  <r>
    <s v="6105A"/>
    <s v="K124"/>
    <x v="9"/>
    <x v="1"/>
    <s v="DTL"/>
    <s v="0002"/>
    <s v="A"/>
    <x v="64"/>
    <s v="Q24050972-07-6286-E-DTL-0002"/>
    <s v="Sht 2 of 3"/>
    <s v="Mining Open Pit"/>
    <s v="Auxiliary 400V AC Panel 2"/>
    <s v="Details"/>
    <s v="Mining Open Pit - Auxiliary 400V AC Panel 2 - Details - Sht 2 of 3"/>
    <m/>
    <m/>
    <m/>
    <m/>
    <n v="0"/>
  </r>
  <r>
    <s v="6105A"/>
    <s v="K124"/>
    <x v="9"/>
    <x v="1"/>
    <s v="LAY"/>
    <s v="0001"/>
    <s v="A"/>
    <x v="65"/>
    <s v="Q24050972-07-6286-E-LAY-0001"/>
    <s v="Sht 1 of 3"/>
    <s v="Mining Open Pit"/>
    <s v="Auxiliary 400V AC Panel 2"/>
    <s v="Layout"/>
    <s v="Mining Open Pit - Auxiliary 400V AC Panel 2 - Layout - Sht 1 of 3"/>
    <m/>
    <m/>
    <m/>
    <m/>
    <n v="0"/>
  </r>
  <r>
    <s v="6105A"/>
    <s v="K124"/>
    <x v="9"/>
    <x v="1"/>
    <s v="SLD"/>
    <s v="0001"/>
    <s v="A"/>
    <x v="66"/>
    <s v="Q24050972-07-6286-E-SLD-0001"/>
    <s v="Sht 1 of 1"/>
    <s v="Mining Open Pit"/>
    <s v="Auxiliary 400V AC Panel 2"/>
    <s v="Single Line Diagram"/>
    <s v="Mining Open Pit - Auxiliary 400V AC Panel 2 - Single Line Diagram - Sht 1 of 1"/>
    <m/>
    <m/>
    <m/>
    <m/>
    <n v="0"/>
  </r>
  <r>
    <s v="6105A"/>
    <s v="K124"/>
    <x v="9"/>
    <x v="1"/>
    <s v="DST"/>
    <s v="0003"/>
    <s v="A"/>
    <x v="67"/>
    <s v="Q24050972-07-6286-E-DST-0003"/>
    <m/>
    <s v="Mining Open Pit"/>
    <s v="Auxiliary 400Vac Distribution Board"/>
    <s v="Datasheet"/>
    <s v="Mining Open Pit - Auxiliary 400Vac Distribution Board - Datasheet"/>
    <m/>
    <m/>
    <m/>
    <m/>
    <n v="0"/>
  </r>
  <r>
    <s v="6105A"/>
    <s v="K124"/>
    <x v="9"/>
    <x v="1"/>
    <s v="DST"/>
    <s v="0004"/>
    <s v="A"/>
    <x v="68"/>
    <s v="Q24050972-07-6286-E-DST-0004"/>
    <m/>
    <s v="Mining Open Pit"/>
    <s v="11kV Switchgear"/>
    <s v="Datasheet"/>
    <s v="Mining Open Pit - 11kV Switchgear - Datasheet"/>
    <m/>
    <m/>
    <m/>
    <m/>
    <n v="0"/>
  </r>
  <r>
    <s v="6105A"/>
    <s v="K124"/>
    <x v="9"/>
    <x v="1"/>
    <s v="DST"/>
    <s v="0005"/>
    <s v="A"/>
    <x v="69"/>
    <s v="Q24050972-07-6286-E-DST-0005"/>
    <m/>
    <s v="Mining Open Pit"/>
    <s v="400kVA Mini-substation (11/0.4kV)"/>
    <s v="Datasheet"/>
    <s v="Mining Open Pit - 400kVA Mini-substation (11/0.4kV) - Datasheet"/>
    <m/>
    <m/>
    <m/>
    <m/>
    <n v="0"/>
  </r>
  <r>
    <s v="6105A"/>
    <s v="K124"/>
    <x v="9"/>
    <x v="3"/>
    <s v="GAD"/>
    <s v="0001"/>
    <s v="A"/>
    <x v="70"/>
    <s v="Q24050972-07-6286-M-GAD-0001"/>
    <s v="Sht 1 of 1"/>
    <s v="Mining Open Pit"/>
    <s v="11kVA MV E-house type 1A"/>
    <s v="External Views"/>
    <s v="Mining Open Pit - 11kVA MV E-house type 1A - External Views - Sht 1 of 1"/>
    <m/>
    <m/>
    <m/>
    <m/>
    <n v="0"/>
  </r>
  <r>
    <s v="6105A"/>
    <s v="K124"/>
    <x v="9"/>
    <x v="3"/>
    <s v="GAD"/>
    <s v="0002"/>
    <s v="A"/>
    <x v="71"/>
    <s v="Q24050972-07-6286-M-GAD-0002"/>
    <s v="Sht 1 of 1"/>
    <s v="Mining Open Pit"/>
    <s v="11kVA MV E-house type 1A"/>
    <s v="Internal Views"/>
    <s v="Mining Open Pit - 11kVA MV E-house type 1A - Internal Views - Sht 1 of 1"/>
    <m/>
    <m/>
    <m/>
    <m/>
    <n v="0"/>
  </r>
  <r>
    <s v="6105A"/>
    <s v="K124"/>
    <x v="9"/>
    <x v="3"/>
    <s v="GAD"/>
    <s v="0003"/>
    <s v="A"/>
    <x v="72"/>
    <s v="Q24050972-07-6286-M-GAD-0003"/>
    <s v="Sht 1 of 1"/>
    <s v="Mining Open Pit"/>
    <s v="11kVA MV E-house type 1A"/>
    <s v="Plan Views"/>
    <s v="Mining Open Pit - 11kVA MV E-house type 1A - Plan Views - Sht 1 of 1"/>
    <m/>
    <m/>
    <m/>
    <m/>
    <n v="0"/>
  </r>
  <r>
    <s v="6105A"/>
    <s v="K124"/>
    <x v="9"/>
    <x v="3"/>
    <s v="GAD"/>
    <s v="0004"/>
    <s v="A"/>
    <x v="73"/>
    <s v="Q24050972-07-6286-M-GAD-0004"/>
    <s v="Sht 1 of 1"/>
    <s v="Mining Open Pit"/>
    <s v="11kVA MV E-house type 1A"/>
    <s v="Paint Schedule"/>
    <s v="Mining Open Pit - 11kVA MV E-house type 1A - Paint Schedule - Sht 1 of 1"/>
    <m/>
    <m/>
    <m/>
    <m/>
    <n v="0"/>
  </r>
  <r>
    <s v="6105A"/>
    <s v="K124"/>
    <x v="9"/>
    <x v="3"/>
    <s v="GAD"/>
    <s v="0005"/>
    <s v="A"/>
    <x v="74"/>
    <s v="Q24050972-07-6286-M-GAD-0005"/>
    <s v="Sht 1 of 1"/>
    <s v="Mining Open Pit"/>
    <s v="11kVA MV E-house type 1A"/>
    <s v="Signage Schedule"/>
    <s v="Mining Open Pit - 11kVA MV E-house type 1A - Signage Schedule - Sht 1 of 1"/>
    <m/>
    <m/>
    <m/>
    <m/>
    <n v="0"/>
  </r>
  <r>
    <s v="6105A"/>
    <s v="K124"/>
    <x v="9"/>
    <x v="3"/>
    <s v="GAD"/>
    <s v="0006"/>
    <s v="A"/>
    <x v="75"/>
    <s v="Q24050972-07-6286-M-GAD-0006"/>
    <s v="Sht 1 of 1"/>
    <s v="Mining Open Pit"/>
    <s v="11kVA MV E-house type 1B"/>
    <s v="External Views"/>
    <s v="Mining Open Pit - 11kVA MV E-house type 1B - External Views - Sht 1 of 1"/>
    <m/>
    <m/>
    <m/>
    <m/>
    <n v="0"/>
  </r>
  <r>
    <s v="6105A"/>
    <s v="K124"/>
    <x v="9"/>
    <x v="3"/>
    <s v="GAD"/>
    <s v="0007"/>
    <s v="A"/>
    <x v="76"/>
    <s v="Q24050972-07-6286-M-GAD-0007"/>
    <s v="Sht 1 of 1"/>
    <s v="Mining Open Pit"/>
    <s v="11kVA MV E-house type 1B"/>
    <s v="Internal Views"/>
    <s v="Mining Open Pit - 11kVA MV E-house type 1B - Internal Views - Sht 1 of 1"/>
    <m/>
    <m/>
    <m/>
    <m/>
    <n v="0"/>
  </r>
  <r>
    <s v="6105A"/>
    <s v="K124"/>
    <x v="9"/>
    <x v="3"/>
    <s v="GAD"/>
    <s v="0008"/>
    <s v="A"/>
    <x v="77"/>
    <s v="Q24050972-07-6286-M-GAD-0008"/>
    <s v="Sht 1 of 1"/>
    <s v="Mining Open Pit"/>
    <s v="11kVA MV E-house type 1B"/>
    <s v="Plan Views"/>
    <s v="Mining Open Pit - 11kVA MV E-house type 1B - Plan Views - Sht 1 of 1"/>
    <m/>
    <m/>
    <m/>
    <m/>
    <n v="0"/>
  </r>
  <r>
    <s v="6105A"/>
    <s v="K124"/>
    <x v="9"/>
    <x v="3"/>
    <s v="GAD"/>
    <s v="0009"/>
    <s v="A"/>
    <x v="78"/>
    <s v="Q24050972-07-6286-M-GAD-0009"/>
    <s v="Sht 1 of 1"/>
    <s v="Mining Open Pit"/>
    <s v="11kVA MV E-house type 1B"/>
    <s v="Paint Schedule"/>
    <s v="Mining Open Pit - 11kVA MV E-house type 1B - Paint Schedule - Sht 1 of 1"/>
    <m/>
    <m/>
    <m/>
    <m/>
    <n v="0"/>
  </r>
  <r>
    <s v="6105A"/>
    <s v="K124"/>
    <x v="9"/>
    <x v="3"/>
    <s v="GAD"/>
    <s v="0010"/>
    <s v="A"/>
    <x v="79"/>
    <s v="Q24050972-07-6286-M-GAD-0010"/>
    <s v="Sht 1 of 1"/>
    <s v="Mining Open Pit"/>
    <s v="11kVA MV E-house type 1B"/>
    <s v="Signage Schedule"/>
    <s v="Mining Open Pit - 11kVA MV E-house type 1B - Signage Schedule - Sht 1 of 1"/>
    <m/>
    <m/>
    <m/>
    <m/>
    <n v="0"/>
  </r>
  <r>
    <s v="6105A"/>
    <s v="K124"/>
    <x v="10"/>
    <x v="1"/>
    <s v="SOW"/>
    <s v="0001"/>
    <s v="A"/>
    <x v="80"/>
    <s v="Q24050972-07-6292-E-SOW-0001"/>
    <m/>
    <s v="11/33 kV Solar PV Substation 1 and Control Room 1"/>
    <s v="33kV GIS  Switchgear &amp; Switchrooms - Solar Plant "/>
    <s v="Scope of Work"/>
    <s v="11/33 kV Solar PV Substation 1 and Control Room 1 - 33kV GIS  Switchgear &amp; Switchrooms - Solar Plant  - Scope of Work"/>
    <m/>
    <m/>
    <m/>
    <m/>
    <n v="0"/>
  </r>
  <r>
    <s v="6105A"/>
    <s v="K124"/>
    <x v="10"/>
    <x v="1"/>
    <s v="DST"/>
    <s v="0001"/>
    <s v="A"/>
    <x v="81"/>
    <s v="Q24050972-07-6292-E-DST-0001"/>
    <m/>
    <s v="11/33 kV Solar PV Substation 1 and Control Room 1"/>
    <s v="33kV Indoor Switchgear "/>
    <s v="Datasheet"/>
    <s v="11/33 kV Solar PV Substation 1 and Control Room 1 - 33kV Indoor Switchgear  - Datasheet"/>
    <m/>
    <m/>
    <m/>
    <m/>
    <n v="0"/>
  </r>
  <r>
    <s v="6105A"/>
    <s v="K124"/>
    <x v="10"/>
    <x v="1"/>
    <s v="DST"/>
    <s v="0002"/>
    <s v="A"/>
    <x v="82"/>
    <s v="Q24050972-07-6292-E-DST-0002"/>
    <m/>
    <s v="11/33 kV Solar PV Substation 1 and Control Room 1"/>
    <s v="3x Battery Tripping Units 9110V DC"/>
    <s v="Datasheet"/>
    <s v="11/33 kV Solar PV Substation 1 and Control Room 1 - 3x Battery Tripping Units 9110V DC - Datasheet"/>
    <m/>
    <m/>
    <m/>
    <m/>
    <n v="0"/>
  </r>
  <r>
    <s v="6105A"/>
    <s v="K124"/>
    <x v="10"/>
    <x v="1"/>
    <s v="DST"/>
    <s v="0003"/>
    <s v="A"/>
    <x v="83"/>
    <s v="Q24050972-07-6292-E-DST-0003"/>
    <m/>
    <s v="11/33 kV Solar PV Substation 1 and Control Room 1"/>
    <s v="MV 33kV Solar Plant  Sub StationSwitchgear "/>
    <s v="Datasheet"/>
    <s v="11/33 kV Solar PV Substation 1 and Control Room 1 - MV 33kV Solar Plant  Sub StationSwitchgear  - Datasheet"/>
    <m/>
    <m/>
    <m/>
    <m/>
    <n v="0"/>
  </r>
  <r>
    <s v="6105A"/>
    <s v="K124"/>
    <x v="10"/>
    <x v="1"/>
    <s v="DST"/>
    <s v="0004"/>
    <s v="A"/>
    <x v="84"/>
    <s v="Q24050972-08-6292-E-DST-0004"/>
    <m/>
    <s v="11/33 kV Solar PV Substation 1 and Control Room 1"/>
    <s v="Primary Electrical Reticulation Network - Main Consumer Plant Reticulation"/>
    <s v="Datasheet"/>
    <s v="11/33 kV Solar PV Substation 1 and Control Room 1 - Primary Electrical Reticulation Network - Main Consumer Plant Reticulation - Datasheet"/>
    <m/>
    <m/>
    <m/>
    <m/>
    <n v="0"/>
  </r>
  <r>
    <s v="6105A"/>
    <s v="K124"/>
    <x v="0"/>
    <x v="2"/>
    <s v="PLN"/>
    <s v="0001"/>
    <s v="A"/>
    <x v="85"/>
    <s v="Q24050972-08-0000-B-PLN-0001"/>
    <m/>
    <s v="General"/>
    <s v=" PRDW Qasim Port Project - Engineering and Management Plan"/>
    <m/>
    <s v="General -  PRDW Qasim Port Project - Engineering and Management Plan"/>
    <m/>
    <m/>
    <m/>
    <m/>
    <n v="0"/>
  </r>
  <r>
    <s v="6105A"/>
    <s v="K124"/>
    <x v="11"/>
    <x v="4"/>
    <s v="STD"/>
    <s v="0001"/>
    <s v="A"/>
    <x v="86"/>
    <s v="Q24050972-07-0100-H-STD-0001"/>
    <m/>
    <s v="Project Site Wide"/>
    <s v="Project Health And Safety Governance"/>
    <s v="Standards "/>
    <s v="Project Site Wide - Project Health And Safety Governance - Standards "/>
    <m/>
    <m/>
    <m/>
    <m/>
    <n v="0"/>
  </r>
  <r>
    <s v="6105A"/>
    <s v="K124"/>
    <x v="11"/>
    <x v="4"/>
    <s v="MAN"/>
    <s v="0001"/>
    <s v="A"/>
    <x v="87"/>
    <s v="Q24050972-07-0100-H-MAN-0001"/>
    <m/>
    <s v="Project Site Wide"/>
    <s v="PHASGS"/>
    <s v="Management Manual"/>
    <s v="Project Site Wide - PHASGS - Management Manual"/>
    <m/>
    <m/>
    <m/>
    <m/>
    <n v="0"/>
  </r>
  <r>
    <s v="6105A"/>
    <s v="K124"/>
    <x v="11"/>
    <x v="4"/>
    <s v="GDL"/>
    <s v="0001"/>
    <s v="A"/>
    <x v="88"/>
    <s v="Q24050972-07-0100-H-GDL-0001"/>
    <m/>
    <s v="Project Site Wide"/>
    <s v="Project Health And Safety Governance Standards “PHASGS” - Management System Units "/>
    <s v="Guideline"/>
    <s v="Project Site Wide - Project Health And Safety Governance Standards “PHASGS” - Management System Units  - Guideline"/>
    <m/>
    <m/>
    <m/>
    <m/>
    <n v="0"/>
  </r>
  <r>
    <s v="6105A"/>
    <s v="K124"/>
    <x v="11"/>
    <x v="1"/>
    <s v="DST"/>
    <s v="0002"/>
    <s v="A"/>
    <x v="89"/>
    <s v="Q24050972-07-0100-E-DST-0002"/>
    <m/>
    <s v="Project Site Wide"/>
    <s v="Pressurisation Fan - MV Switch Rooms"/>
    <s v="Datasheet"/>
    <s v="Project Site Wide - Pressurisation Fan - MV Switch Rooms - Datasheet"/>
    <m/>
    <m/>
    <m/>
    <m/>
    <n v="0"/>
  </r>
  <r>
    <s v="6105A"/>
    <s v="K124"/>
    <x v="11"/>
    <x v="1"/>
    <s v="DST"/>
    <s v="0003"/>
    <s v="A"/>
    <x v="90"/>
    <s v="Q24050972-07-0100-E-DST-0003"/>
    <m/>
    <s v="Project Site Wide"/>
    <s v=" Extraction Fan - MV Control Room"/>
    <s v="Datasheet"/>
    <s v="Project Site Wide -  Extraction Fan - MV Control Room - Datasheet"/>
    <m/>
    <m/>
    <m/>
    <m/>
    <n v="0"/>
  </r>
  <r>
    <s v="6105A"/>
    <s v="K124"/>
    <x v="9"/>
    <x v="3"/>
    <s v="GAD"/>
    <s v="0011"/>
    <s v="A"/>
    <x v="91"/>
    <s v="Q24050972-09-6286-M-GAD-0011"/>
    <s v="Sht 1 of 1"/>
    <s v="Mining Open Pit"/>
    <s v="33kVA MV Switchroom"/>
    <s v="External Views"/>
    <s v="Mining Open Pit - 33kVA MV Switchroom - External Views - Sht 1 of 1"/>
    <m/>
    <m/>
    <m/>
    <m/>
    <n v="0"/>
  </r>
  <r>
    <s v="6105A"/>
    <s v="K124"/>
    <x v="9"/>
    <x v="3"/>
    <s v="GAD"/>
    <s v="0012"/>
    <s v="A"/>
    <x v="92"/>
    <s v="Q24050972-09-6286-M-GAD-0012"/>
    <s v="Sht 1 of 1"/>
    <s v="Mining Open Pit"/>
    <s v="33kVA MV Switchroom"/>
    <s v="Internal Views"/>
    <s v="Mining Open Pit - 33kVA MV Switchroom - Internal Views - Sht 1 of 1"/>
    <m/>
    <m/>
    <m/>
    <m/>
    <n v="0"/>
  </r>
  <r>
    <s v="6105A"/>
    <s v="K124"/>
    <x v="9"/>
    <x v="3"/>
    <s v="GAD"/>
    <s v="0013"/>
    <s v="A"/>
    <x v="93"/>
    <s v="Q24050972-09-6286-M-GAD-0013"/>
    <s v="Sht 1 of 1"/>
    <s v="Mining Open Pit"/>
    <s v="33kVA MV Switchroom"/>
    <s v="Plan Views"/>
    <s v="Mining Open Pit - 33kVA MV Switchroom - Plan Views - Sht 1 of 1"/>
    <m/>
    <m/>
    <m/>
    <m/>
    <n v="0"/>
  </r>
  <r>
    <s v="6105A"/>
    <s v="K124"/>
    <x v="9"/>
    <x v="3"/>
    <s v="GAD"/>
    <s v="0014"/>
    <s v="A"/>
    <x v="94"/>
    <s v="Q24050972-09-6286-M-GAD-0014"/>
    <s v="Sht 1 of 1"/>
    <s v="Mining Open Pit"/>
    <s v="33kVA MV Switchroom"/>
    <s v="Paint Schedule"/>
    <s v="Mining Open Pit - 33kVA MV Switchroom - Paint Schedule - Sht 1 of 1"/>
    <m/>
    <m/>
    <m/>
    <m/>
    <n v="0"/>
  </r>
  <r>
    <s v="6105A"/>
    <s v="K124"/>
    <x v="9"/>
    <x v="3"/>
    <s v="GAD"/>
    <s v="0015"/>
    <s v="A"/>
    <x v="95"/>
    <s v="Q24050972-09-6286-M-GAD-0015"/>
    <s v="Sht 1 of 1"/>
    <s v="Mining Open Pit"/>
    <s v="33kVA MV Switchroom"/>
    <s v="Signage Schedule"/>
    <s v="Mining Open Pit - 33kVA MV Switchroom - Signage Schedule - Sht 1 of 1"/>
    <m/>
    <m/>
    <m/>
    <m/>
    <n v="0"/>
  </r>
  <r>
    <s v="6105A"/>
    <s v="K124"/>
    <x v="4"/>
    <x v="3"/>
    <s v="GAD"/>
    <s v="0002"/>
    <s v="A"/>
    <x v="96"/>
    <s v="Q24050972-07-6260-M-GAD-0002"/>
    <s v="Sht.1 of 8"/>
    <s v="Emergency Power Generation"/>
    <s v="Pump house - Plant"/>
    <s v="Isometric Arrangement"/>
    <s v="Emergency Power Generation - Pump house - Plant - Isometric Arrangement - Sht.1 of 8"/>
    <m/>
    <m/>
    <m/>
    <m/>
    <n v="0"/>
  </r>
  <r>
    <s v="6105A"/>
    <s v="K124"/>
    <x v="4"/>
    <x v="3"/>
    <s v="GAD"/>
    <s v="0003"/>
    <s v="A"/>
    <x v="97"/>
    <s v="Q24050972-07-6260-M-GAD-0003"/>
    <s v="Sht.2 of 8"/>
    <s v="Emergency Power Generation"/>
    <s v="Pump house "/>
    <s v=" Isometric Arrangement"/>
    <s v="Emergency Power Generation - Pump house  -  Isometric Arrangement - Sht.2 of 8"/>
    <m/>
    <m/>
    <m/>
    <m/>
    <n v="0"/>
  </r>
  <r>
    <s v="6105A"/>
    <s v="K124"/>
    <x v="4"/>
    <x v="3"/>
    <s v="GAD"/>
    <s v="0004"/>
    <s v="A"/>
    <x v="98"/>
    <s v="Q24050972-07-6260-M-GAD-0004"/>
    <s v="Sht.3 of 8"/>
    <s v="Emergency Power Generation"/>
    <s v="Pump house - Fuel Polish"/>
    <s v="Isometric Arrangement"/>
    <s v="Emergency Power Generation - Pump house - Fuel Polish - Isometric Arrangement - Sht.3 of 8"/>
    <m/>
    <m/>
    <m/>
    <m/>
    <n v="0"/>
  </r>
  <r>
    <s v="6105A"/>
    <s v="K124"/>
    <x v="4"/>
    <x v="3"/>
    <s v="GAD"/>
    <s v="0005"/>
    <s v="A"/>
    <x v="99"/>
    <s v="Q24050972-07-6260-M-GAD-0005"/>
    <s v="Sht.4 of 8"/>
    <s v="Emergency Power Generation"/>
    <s v="Pump house - Fuel Polish"/>
    <s v="General Arrangement"/>
    <s v="Emergency Power Generation - Pump house - Fuel Polish - General Arrangement - Sht.4 of 8"/>
    <m/>
    <m/>
    <m/>
    <m/>
    <n v="0"/>
  </r>
  <r>
    <s v="6105A"/>
    <s v="K124"/>
    <x v="4"/>
    <x v="3"/>
    <s v="GAD"/>
    <s v="0006"/>
    <s v="A"/>
    <x v="100"/>
    <s v="Q24050972-07-6260-M-GAD-0006"/>
    <s v="Sht.5 of 8"/>
    <s v="Emergency Power Generation"/>
    <s v="Pump house - Fuel Transfer"/>
    <s v="Isometric Arrangement"/>
    <s v="Emergency Power Generation - Pump house - Fuel Transfer - Isometric Arrangement - Sht.5 of 8"/>
    <m/>
    <m/>
    <m/>
    <m/>
    <n v="0"/>
  </r>
  <r>
    <s v="6105A"/>
    <s v="K124"/>
    <x v="4"/>
    <x v="3"/>
    <s v="GAD"/>
    <s v="0007"/>
    <s v="A"/>
    <x v="101"/>
    <s v="Q24050972-07-6260-M-GAD-0007"/>
    <s v="Sht.6 of 8"/>
    <s v="Emergency Power Generation"/>
    <s v="Pump house - Fuel Transfer"/>
    <s v="General Arrangement"/>
    <s v="Emergency Power Generation - Pump house - Fuel Transfer - General Arrangement - Sht.6 of 8"/>
    <m/>
    <m/>
    <m/>
    <m/>
    <n v="0"/>
  </r>
  <r>
    <s v="6105A"/>
    <s v="K124"/>
    <x v="4"/>
    <x v="3"/>
    <s v="GAD"/>
    <s v="0008"/>
    <s v="A"/>
    <x v="102"/>
    <s v="Q24050972-07-6260-M-GAD-0008"/>
    <s v="Sht.7 of 8"/>
    <s v="Emergency Power Generation"/>
    <s v="Pump house - Off-load system"/>
    <s v="Isometric Arrangement"/>
    <s v="Emergency Power Generation - Pump house - Off-load system - Isometric Arrangement - Sht.7 of 8"/>
    <m/>
    <m/>
    <m/>
    <m/>
    <n v="0"/>
  </r>
  <r>
    <s v="6105A"/>
    <s v="K124"/>
    <x v="4"/>
    <x v="3"/>
    <s v="GAD"/>
    <s v="0009"/>
    <s v="A"/>
    <x v="103"/>
    <s v="Q24050972-07-6260-M-GAD-0009"/>
    <s v="Sht.8 of 8"/>
    <s v="Emergency Power Generation"/>
    <s v="Pump house "/>
    <s v="General Arrangement"/>
    <s v="Emergency Power Generation - Pump house  - General Arrangement - Sht.8 of 8"/>
    <m/>
    <m/>
    <m/>
    <m/>
    <n v="0"/>
  </r>
  <r>
    <s v="6105A"/>
    <s v="K124"/>
    <x v="12"/>
    <x v="1"/>
    <s v="GAD"/>
    <s v="0001"/>
    <s v="A"/>
    <x v="104"/>
    <s v="Q24050972-09-6240-E-GAD-0001"/>
    <s v="Sht 1 of 1"/>
    <s v="High Voltage Substations"/>
    <s v="Main Consumer intake Power Complex"/>
    <s v="General Arrangement"/>
    <s v="High Voltage Substations - Main Consumer intake Power Complex - General Arrangement - Sht 1 of 1"/>
    <m/>
    <m/>
    <m/>
    <m/>
    <n v="0"/>
  </r>
  <r>
    <s v="6105A"/>
    <s v="K124"/>
    <x v="12"/>
    <x v="1"/>
    <s v="GAD"/>
    <s v="0002"/>
    <s v="A"/>
    <x v="105"/>
    <s v="Q24050972-09-6240-E-GAD-0002"/>
    <s v="Sht 1 of 1"/>
    <s v="High Voltage Substations"/>
    <s v="Main Consumer intake Power Complex"/>
    <s v="Earthing Arrangement"/>
    <s v="High Voltage Substations - Main Consumer intake Power Complex - Earthing Arrangement - Sht 1 of 1"/>
    <m/>
    <m/>
    <m/>
    <m/>
    <n v="0"/>
  </r>
  <r>
    <s v="6105A"/>
    <s v="K124"/>
    <x v="4"/>
    <x v="1"/>
    <s v="GAD"/>
    <s v="0013"/>
    <s v="A"/>
    <x v="106"/>
    <s v="Q24050972-09-6260-E-GAD-0013"/>
    <s v="Sht 1 of 4"/>
    <s v="Emergency Power Generation"/>
    <s v="Mv Cable Isolator Panel"/>
    <s v="General Arrangement"/>
    <s v="Emergency Power Generation - Mv Cable Isolator Panel - General Arrangement - Sht 1 of 4"/>
    <m/>
    <m/>
    <m/>
    <m/>
    <n v="0"/>
  </r>
  <r>
    <s v="6105A"/>
    <s v="K124"/>
    <x v="4"/>
    <x v="1"/>
    <s v="LAY"/>
    <s v="0001"/>
    <s v="A"/>
    <x v="107"/>
    <s v="Q24050972-09-6260-E-LAY-0001"/>
    <s v="Sht.2 of 4"/>
    <s v="Emergency Power Generation"/>
    <s v="Mv Cable Isolator Panel"/>
    <s v="Layout"/>
    <s v="Emergency Power Generation - Mv Cable Isolator Panel - Layout - Sht.2 of 4"/>
    <m/>
    <m/>
    <m/>
    <m/>
    <n v="0"/>
  </r>
  <r>
    <s v="6105A"/>
    <s v="K124"/>
    <x v="4"/>
    <x v="1"/>
    <s v="SEC"/>
    <s v="0001"/>
    <s v="A"/>
    <x v="108"/>
    <s v="Q24050972-09-6260-E-SEC-0001"/>
    <s v="Sht.3 of 4"/>
    <s v="Emergency Power Generation"/>
    <s v="Mv Cable Isolator Panel"/>
    <s v="Section"/>
    <s v="Emergency Power Generation - Mv Cable Isolator Panel - Section - Sht.3 of 4"/>
    <s v="08/09/2025"/>
    <m/>
    <m/>
    <m/>
    <n v="0.33329999999999999"/>
  </r>
  <r>
    <s v="6105A"/>
    <s v="K124"/>
    <x v="4"/>
    <x v="1"/>
    <s v="DTL"/>
    <s v="0001"/>
    <s v="A"/>
    <x v="109"/>
    <s v="Q24050972-09-6260-E-DTL-0001"/>
    <s v="Sht.4 of 4"/>
    <s v="Emergency Power Generation"/>
    <s v="Mv Cable Isolator Panel"/>
    <s v="Details"/>
    <s v="Emergency Power Generation - Mv Cable Isolator Panel - Details - Sht.4 of 4"/>
    <s v="08/09/2026"/>
    <m/>
    <m/>
    <m/>
    <n v="0.33329999999999999"/>
  </r>
  <r>
    <s v="6105A"/>
    <s v="K124"/>
    <x v="2"/>
    <x v="3"/>
    <s v="GAD"/>
    <s v="0001"/>
    <s v="A"/>
    <x v="110"/>
    <s v="Q24050972-09-6243-M-GAD-0001"/>
    <s v="Sht 1 of 1"/>
    <s v="220/33 kV Plant Main Substation"/>
    <s v="33kVA MV E-house type 1A"/>
    <s v="External Views"/>
    <s v="220/33 kV Plant Main Substation - 33kVA MV E-house type 1A - External Views - Sht 1 of 1"/>
    <s v="08/09/2027"/>
    <m/>
    <m/>
    <m/>
    <n v="0.33329999999999999"/>
  </r>
  <r>
    <s v="6105A"/>
    <s v="K124"/>
    <x v="2"/>
    <x v="3"/>
    <s v="GAD"/>
    <s v="0002"/>
    <s v="A"/>
    <x v="111"/>
    <s v="Q24050972-09-6243-M-GAD-0002"/>
    <s v="Sht 1 of 1"/>
    <s v="220/33 kV Plant Main Substation"/>
    <s v="33kVA MV E-house type 1A"/>
    <s v="Internal Views"/>
    <s v="220/33 kV Plant Main Substation - 33kVA MV E-house type 1A - Internal Views - Sht 1 of 1"/>
    <s v="08/09/2028"/>
    <m/>
    <m/>
    <m/>
    <n v="0.33329999999999999"/>
  </r>
  <r>
    <s v="6105A"/>
    <s v="K124"/>
    <x v="2"/>
    <x v="3"/>
    <s v="GAD"/>
    <s v="0003"/>
    <s v="A"/>
    <x v="112"/>
    <s v="Q24050972-09-6243-M-GAD-0003"/>
    <s v="Sht 1 of 1"/>
    <s v="220/33 kV Plant Main Substation"/>
    <s v="33kVA MV E-house type 1A"/>
    <s v="Plan Views"/>
    <s v="220/33 kV Plant Main Substation - 33kVA MV E-house type 1A - Plan Views - Sht 1 of 1"/>
    <s v="08/09/2029"/>
    <m/>
    <m/>
    <m/>
    <n v="0.33329999999999999"/>
  </r>
  <r>
    <s v="6105A"/>
    <s v="K124"/>
    <x v="2"/>
    <x v="3"/>
    <s v="GAD"/>
    <s v="0004"/>
    <s v="A"/>
    <x v="113"/>
    <s v="Q24050972-09-6243-M-GAD-0004"/>
    <s v="Sht 1 of 1"/>
    <s v="220/33 kV Plant Main Substation"/>
    <s v="33kVA MV E-house type 1A"/>
    <s v="Paint Schedule"/>
    <s v="220/33 kV Plant Main Substation - 33kVA MV E-house type 1A - Paint Schedule - Sht 1 of 1"/>
    <s v="08/09/2030"/>
    <m/>
    <m/>
    <m/>
    <n v="0.33329999999999999"/>
  </r>
  <r>
    <s v="6105A"/>
    <s v="K124"/>
    <x v="2"/>
    <x v="3"/>
    <s v="GAD"/>
    <s v="0005"/>
    <s v="A"/>
    <x v="114"/>
    <s v="Q24050972-09-6243-M-GAD-0005"/>
    <s v="Sht 1 of 1"/>
    <s v="220/33 kV Plant Main Substation"/>
    <s v="33kVA MV E-house type 1A"/>
    <s v="Signage Schedule"/>
    <s v="220/33 kV Plant Main Substation - 33kVA MV E-house type 1A - Signage Schedule - Sht 1 of 1"/>
    <s v="08/09/2031"/>
    <m/>
    <m/>
    <m/>
    <n v="0.33329999999999999"/>
  </r>
  <r>
    <s v="6105A"/>
    <s v="K124"/>
    <x v="2"/>
    <x v="3"/>
    <s v="GAD"/>
    <s v="0006"/>
    <s v="A"/>
    <x v="115"/>
    <s v="Q24050972-09-6243-M-GAD-0006"/>
    <s v="Sht 1 of 1"/>
    <s v="220/33 kV Plant Main Substation"/>
    <s v="33kVA MV E-house type 1B"/>
    <s v="External Views"/>
    <s v="220/33 kV Plant Main Substation - 33kVA MV E-house type 1B - External Views - Sht 1 of 1"/>
    <s v="08/09/2032"/>
    <m/>
    <m/>
    <m/>
    <n v="0.33329999999999999"/>
  </r>
  <r>
    <s v="6105A"/>
    <s v="K124"/>
    <x v="2"/>
    <x v="3"/>
    <s v="GAD"/>
    <s v="0007"/>
    <s v="A"/>
    <x v="116"/>
    <s v="Q24050972-09-6243-M-GAD-0007"/>
    <s v="Sht 1 of 1"/>
    <s v="220/33 kV Plant Main Substation"/>
    <s v="33kVA MV E-house type 1B"/>
    <s v="Internal Views"/>
    <s v="220/33 kV Plant Main Substation - 33kVA MV E-house type 1B - Internal Views - Sht 1 of 1"/>
    <s v="08/09/2033"/>
    <m/>
    <m/>
    <m/>
    <n v="0.33329999999999999"/>
  </r>
  <r>
    <s v="6105A"/>
    <s v="K124"/>
    <x v="2"/>
    <x v="3"/>
    <s v="GAD"/>
    <s v="0008"/>
    <s v="A"/>
    <x v="117"/>
    <s v="Q24050972-09-6243-M-GAD-0008"/>
    <s v="Sht 1 of 1"/>
    <s v="220/33 kV Plant Main Substation"/>
    <s v="33kVA MV E-house type 1B"/>
    <s v="Plan Views"/>
    <s v="220/33 kV Plant Main Substation - 33kVA MV E-house type 1B - Plan Views - Sht 1 of 1"/>
    <s v="08/09/2034"/>
    <m/>
    <m/>
    <m/>
    <n v="0.33329999999999999"/>
  </r>
  <r>
    <s v="6105A"/>
    <s v="K124"/>
    <x v="2"/>
    <x v="3"/>
    <s v="GAD"/>
    <s v="0009"/>
    <s v="A"/>
    <x v="118"/>
    <s v="Q24050972-09-6243-M-GAD-0009"/>
    <s v="Sht 1 of 1"/>
    <s v="220/33 kV Plant Main Substation"/>
    <s v="33kVA MV E-house type 1B"/>
    <s v="Paint Schedule"/>
    <s v="220/33 kV Plant Main Substation - 33kVA MV E-house type 1B - Paint Schedule - Sht 1 of 1"/>
    <s v="08/09/2035"/>
    <m/>
    <m/>
    <m/>
    <n v="0.33329999999999999"/>
  </r>
  <r>
    <s v="6105A"/>
    <s v="K124"/>
    <x v="2"/>
    <x v="3"/>
    <s v="GAD"/>
    <s v="0010"/>
    <s v="A"/>
    <x v="119"/>
    <s v="Q24050972-09-6243-M-GAD-0010"/>
    <s v="Sht 1 of 1"/>
    <s v="220/33 kV Plant Main Substation"/>
    <s v="33kVA MV E-house type 1B"/>
    <s v="Signage Schedule"/>
    <s v="220/33 kV Plant Main Substation - 33kVA MV E-house type 1B - Signage Schedule - Sht 1 of 1"/>
    <s v="08/09/2036"/>
    <m/>
    <m/>
    <m/>
    <n v="0.33329999999999999"/>
  </r>
  <r>
    <s v="6105A"/>
    <s v="K124"/>
    <x v="2"/>
    <x v="3"/>
    <s v="GAD"/>
    <s v="0011"/>
    <s v="A"/>
    <x v="120"/>
    <s v="Q24050972-09-6243-M-GAD-0011"/>
    <s v="Sht 1 of 1"/>
    <s v="220/33 kV Plant Main Substation"/>
    <s v="33kVA MV E-house type 1C"/>
    <s v="External Views"/>
    <s v="220/33 kV Plant Main Substation - 33kVA MV E-house type 1C - External Views - Sht 1 of 1"/>
    <s v="08/09/2037"/>
    <m/>
    <m/>
    <m/>
    <n v="0.33329999999999999"/>
  </r>
  <r>
    <s v="6105A"/>
    <s v="K124"/>
    <x v="2"/>
    <x v="3"/>
    <s v="GAD"/>
    <s v="0012"/>
    <s v="A"/>
    <x v="121"/>
    <s v="Q24050972-09-6243-M-GAD-0012"/>
    <s v="Sht 1 of 1"/>
    <s v="220/33 kV Plant Main Substation"/>
    <s v="33kVA MV E-house type 1C"/>
    <s v="Internal Views"/>
    <s v="220/33 kV Plant Main Substation - 33kVA MV E-house type 1C - Internal Views - Sht 1 of 1"/>
    <s v="08/09/2038"/>
    <m/>
    <m/>
    <m/>
    <n v="0.33329999999999999"/>
  </r>
  <r>
    <s v="6105A"/>
    <s v="K124"/>
    <x v="2"/>
    <x v="3"/>
    <s v="GAD"/>
    <s v="0013"/>
    <s v="A"/>
    <x v="122"/>
    <s v="Q24050972-09-6243-M-GAD-0013"/>
    <s v="Sht 1 of 1"/>
    <s v="220/33 kV Plant Main Substation"/>
    <s v="33kVA MV E-house type 1C"/>
    <s v="Plan Views"/>
    <s v="220/33 kV Plant Main Substation - 33kVA MV E-house type 1C - Plan Views - Sht 1 of 1"/>
    <m/>
    <m/>
    <m/>
    <m/>
    <n v="0"/>
  </r>
  <r>
    <s v="6105A"/>
    <s v="K124"/>
    <x v="2"/>
    <x v="3"/>
    <s v="GAD"/>
    <s v="0014"/>
    <s v="A"/>
    <x v="123"/>
    <s v="Q24050972-09-6243-M-GAD-0014"/>
    <s v="Sht 1 of 1"/>
    <s v="220/33 kV Plant Main Substation"/>
    <s v="33kVA MV E-house type 1C"/>
    <s v="Paint Schedule"/>
    <s v="220/33 kV Plant Main Substation - 33kVA MV E-house type 1C - Paint Schedule - Sht 1 of 1"/>
    <m/>
    <m/>
    <m/>
    <m/>
    <n v="0"/>
  </r>
  <r>
    <s v="6105A"/>
    <s v="K124"/>
    <x v="2"/>
    <x v="3"/>
    <s v="GAD"/>
    <s v="0015"/>
    <s v="A"/>
    <x v="124"/>
    <s v="Q24050972-09-6243-M-GAD-0015"/>
    <s v="Sht 1 of 1"/>
    <s v="220/33 kV Plant Main Substation"/>
    <s v="33kVA MV E-house type 1C"/>
    <s v="Signage Schedule"/>
    <s v="220/33 kV Plant Main Substation - 33kVA MV E-house type 1C - Signage Schedule - Sht 1 of 1"/>
    <m/>
    <m/>
    <m/>
    <m/>
    <n v="0"/>
  </r>
  <r>
    <s v="6105A"/>
    <s v="K124"/>
    <x v="4"/>
    <x v="1"/>
    <s v="DST"/>
    <s v="0017"/>
    <s v="A"/>
    <x v="125"/>
    <s v="Q24050972-07-6260-E-DST-0017"/>
    <s v="Sht 1 of 1"/>
    <s v="Emergency Power Generation"/>
    <s v=" Bulk Fuel Storage 1"/>
    <s v="Datasheet"/>
    <s v="Emergency Power Generation -  Bulk Fuel Storage 1 - Datasheet - Sht 1 of 1"/>
    <m/>
    <m/>
    <m/>
    <m/>
    <n v="0"/>
  </r>
  <r>
    <s v="6105A"/>
    <s v="K124"/>
    <x v="4"/>
    <x v="1"/>
    <s v="GAD"/>
    <s v="0014"/>
    <s v="A"/>
    <x v="126"/>
    <s v="Q24050972-09-6260-E-GAD-0014"/>
    <s v="Sht 1 of 1"/>
    <s v="Emergency Power Generation"/>
    <s v="Emergency Power Substation 1 and Control Room 1"/>
    <s v="General Arrangement"/>
    <s v="Emergency Power Generation - Emergency Power Substation 1 and Control Room 1 - General Arrangement - Sht 1 of 1"/>
    <m/>
    <m/>
    <m/>
    <m/>
    <n v="0"/>
  </r>
  <r>
    <s v="6105A"/>
    <s v="K124"/>
    <x v="11"/>
    <x v="4"/>
    <s v="PRC"/>
    <s v="0001"/>
    <s v="A"/>
    <x v="127"/>
    <s v="Q24050972-09-0100-H-PRC-0001"/>
    <m/>
    <s v="Project Site Wide"/>
    <s v="SOP 01.0 - Administration"/>
    <s v="Procedure"/>
    <s v="Project Site Wide - SOP 01.0 - Administration - Procedure"/>
    <m/>
    <m/>
    <m/>
    <m/>
    <n v="0"/>
  </r>
  <r>
    <s v="6105A"/>
    <s v="K124"/>
    <x v="11"/>
    <x v="4"/>
    <s v="PRC"/>
    <s v="0002"/>
    <s v="A"/>
    <x v="128"/>
    <s v="Q24050972-09-0100-H-PRC-0002"/>
    <m/>
    <s v="Project Site Wide"/>
    <s v="SOP 02.0 - Incident Notification, Investigation and Reporting"/>
    <s v="Procedure"/>
    <s v="Project Site Wide - SOP 02.0 - Incident Notification, Investigation and Reporting - Procedure"/>
    <m/>
    <m/>
    <m/>
    <m/>
    <n v="0"/>
  </r>
  <r>
    <s v="6105A"/>
    <s v="K124"/>
    <x v="11"/>
    <x v="4"/>
    <s v="PRC"/>
    <s v="0003"/>
    <s v="A"/>
    <x v="129"/>
    <s v="Q24050972-09-0100-H-PRC-0003"/>
    <m/>
    <s v="Project Site Wide"/>
    <s v="SOP 03.0 - Occupational Noise"/>
    <s v="Procedure"/>
    <s v="Project Site Wide - SOP 03.0 - Occupational Noise - Procedure"/>
    <m/>
    <m/>
    <m/>
    <m/>
    <n v="0"/>
  </r>
  <r>
    <s v="6105A"/>
    <s v="K124"/>
    <x v="11"/>
    <x v="4"/>
    <s v="PRC"/>
    <s v="0004"/>
    <s v="A"/>
    <x v="130"/>
    <s v="Q24050972-09-0100-H-PRC-0004"/>
    <m/>
    <s v="Project Site Wide"/>
    <s v="SOP 03.1 - Vibration"/>
    <s v="Procedure"/>
    <s v="Project Site Wide - SOP 03.1 - Vibration - Procedure"/>
    <m/>
    <m/>
    <m/>
    <m/>
    <n v="0"/>
  </r>
  <r>
    <s v="6105A"/>
    <s v="K124"/>
    <x v="11"/>
    <x v="4"/>
    <s v="PRC"/>
    <s v="0005"/>
    <s v="A"/>
    <x v="131"/>
    <s v="Q24050972-09-0100-H-PRC-0005"/>
    <m/>
    <s v="Project Site Wide"/>
    <s v="SOP 04.0 - First Aid and Medical Emergency Treatment"/>
    <s v="Procedure"/>
    <s v="Project Site Wide - SOP 04.0 - First Aid and Medical Emergency Treatment - Procedure"/>
    <m/>
    <m/>
    <m/>
    <m/>
    <n v="0"/>
  </r>
  <r>
    <s v="6105A"/>
    <s v="K124"/>
    <x v="11"/>
    <x v="4"/>
    <s v="PRC"/>
    <s v="0006"/>
    <s v="A"/>
    <x v="132"/>
    <s v="Q24050972-09-0100-H-PRC-0006"/>
    <m/>
    <s v="Project Site Wide"/>
    <s v="SOP 05.0 - Occupational Health Screening and Medical Surveillance"/>
    <s v="Procedure"/>
    <s v="Project Site Wide - SOP 05.0 - Occupational Health Screening and Medical Surveillance - Procedure"/>
    <m/>
    <m/>
    <m/>
    <m/>
    <n v="0"/>
  </r>
  <r>
    <s v="6105A"/>
    <s v="K124"/>
    <x v="11"/>
    <x v="4"/>
    <s v="PRC"/>
    <s v="0007"/>
    <s v="A"/>
    <x v="133"/>
    <s v="Q24050972-09-0100-H-PRC-0007"/>
    <m/>
    <s v="Project Site Wide"/>
    <s v="SOP 06.0 - Performance Monitoring and Reporting"/>
    <s v="Procedure"/>
    <s v="Project Site Wide - SOP 06.0 - Performance Monitoring and Reporting - Procedure"/>
    <m/>
    <m/>
    <m/>
    <m/>
    <n v="0"/>
  </r>
  <r>
    <s v="6105A"/>
    <s v="K124"/>
    <x v="11"/>
    <x v="4"/>
    <s v="PRC"/>
    <s v="0008"/>
    <s v="A"/>
    <x v="134"/>
    <s v="Q24050972-09-0100-H-PRC-0008"/>
    <m/>
    <s v="Project Site Wide"/>
    <s v="SOP 07.0 - Organization OSH Practitioner Registration and Appointment of Principal Contractor"/>
    <s v="Procedure"/>
    <s v="Project Site Wide - SOP 07.0 - Organization OSH Practitioner Registration and Appointment of Principal Contractor - Procedure"/>
    <m/>
    <m/>
    <m/>
    <m/>
    <n v="0"/>
  </r>
  <r>
    <s v="6105A"/>
    <s v="K124"/>
    <x v="11"/>
    <x v="4"/>
    <s v="PRC"/>
    <s v="0009"/>
    <s v="A"/>
    <x v="135"/>
    <s v="Q24050972-09-0100-H-PRC-0009"/>
    <m/>
    <s v="Project Site Wide"/>
    <s v="SOP 08.0 - General Workplace Amenities"/>
    <s v="Procedure"/>
    <s v="Project Site Wide - SOP 08.0 - General Workplace Amenities - Procedure"/>
    <m/>
    <m/>
    <m/>
    <m/>
    <n v="0"/>
  </r>
  <r>
    <s v="6105A"/>
    <s v="K124"/>
    <x v="11"/>
    <x v="4"/>
    <s v="PRC"/>
    <s v="0010"/>
    <s v="A"/>
    <x v="136"/>
    <s v="Q24050972-09-0100-H-PRC-0010"/>
    <m/>
    <s v="Project Site Wide"/>
    <s v="SOP 09.0 - Workplace Wellness"/>
    <s v="Procedure"/>
    <s v="Project Site Wide - SOP 09.0 - Workplace Wellness - Procedure"/>
    <m/>
    <m/>
    <m/>
    <m/>
    <n v="0"/>
  </r>
  <r>
    <s v="6105A"/>
    <s v="K124"/>
    <x v="11"/>
    <x v="4"/>
    <s v="PRC"/>
    <s v="0011"/>
    <s v="A"/>
    <x v="137"/>
    <s v="Q24050972-09-0100-H-PRC-0011"/>
    <m/>
    <s v="Project Site Wide"/>
    <s v="SOP 09.1- New and Expectant Mothers"/>
    <s v="Procedure"/>
    <s v="Project Site Wide - SOP 09.1- New and Expectant Mothers - Procedure"/>
    <m/>
    <m/>
    <m/>
    <m/>
    <n v="0"/>
  </r>
  <r>
    <s v="6105A"/>
    <s v="K124"/>
    <x v="11"/>
    <x v="4"/>
    <s v="PRC"/>
    <s v="0012"/>
    <s v="A"/>
    <x v="138"/>
    <s v="Q24050972-09-0100-H-PRC-0012"/>
    <m/>
    <s v="Project Site Wide"/>
    <s v="SOP 09.2 - Managing Work-Related Stress"/>
    <s v="Procedure"/>
    <s v="Project Site Wide - SOP 09.2 - Managing Work-Related Stress - Procedure"/>
    <m/>
    <m/>
    <m/>
    <m/>
    <n v="0"/>
  </r>
  <r>
    <s v="6105A"/>
    <s v="K124"/>
    <x v="11"/>
    <x v="4"/>
    <s v="PRC"/>
    <s v="0013"/>
    <s v="A"/>
    <x v="139"/>
    <s v="Q24050972-09-0100-H-PRC-0013"/>
    <m/>
    <s v="Project Site Wide"/>
    <s v="SOP 09.3 - Drinking Water"/>
    <s v="Procedure"/>
    <s v="Project Site Wide - SOP 09.3 - Drinking Water - Procedure"/>
    <m/>
    <m/>
    <m/>
    <m/>
    <n v="0"/>
  </r>
  <r>
    <s v="6105A"/>
    <s v="K124"/>
    <x v="11"/>
    <x v="4"/>
    <s v="PRC"/>
    <s v="0014"/>
    <s v="A"/>
    <x v="140"/>
    <s v="Q24050972-09-0100-H-PRC-0014"/>
    <m/>
    <s v="Project Site Wide"/>
    <s v="SOP 09.4 - Silica"/>
    <s v="Procedure"/>
    <s v="Project Site Wide - SOP 09.4 - Silica - Procedure"/>
    <m/>
    <m/>
    <m/>
    <m/>
    <n v="0"/>
  </r>
  <r>
    <s v="6105A"/>
    <s v="K124"/>
    <x v="11"/>
    <x v="4"/>
    <s v="PRC"/>
    <s v="0015"/>
    <s v="A"/>
    <x v="141"/>
    <s v="Q24050972-09-0100-H-PRC-0015"/>
    <m/>
    <s v="Project Site Wide"/>
    <s v="SOP 10.0 - Rehabilitation and Return to Work"/>
    <s v="Procedure"/>
    <s v="Project Site Wide - SOP 10.0 - Rehabilitation and Return to Work - Procedure"/>
    <m/>
    <m/>
    <m/>
    <m/>
    <n v="0"/>
  </r>
  <r>
    <s v="6105A"/>
    <s v="K124"/>
    <x v="11"/>
    <x v="4"/>
    <s v="PRC"/>
    <s v="0016"/>
    <s v="A"/>
    <x v="142"/>
    <s v="Q24050972-09-0100-H-PRC-0016"/>
    <m/>
    <s v="Project Site Wide"/>
    <s v="SOP 11.0 - Safety in the Heat"/>
    <s v="Procedure"/>
    <s v="Project Site Wide - SOP 11.0 - Safety in the Heat - Procedure"/>
    <m/>
    <m/>
    <m/>
    <m/>
    <n v="0"/>
  </r>
  <r>
    <s v="6105A"/>
    <s v="K124"/>
    <x v="11"/>
    <x v="4"/>
    <s v="PRC"/>
    <s v="0017"/>
    <s v="A"/>
    <x v="143"/>
    <s v="Q24050972-09-0100-H-PRC-0017"/>
    <m/>
    <s v="Project Site Wide"/>
    <s v="SOP 12.0 - Personal Protective Equipment"/>
    <s v="Procedure"/>
    <s v="Project Site Wide - SOP 12.0 - Personal Protective Equipment - Procedure"/>
    <m/>
    <m/>
    <m/>
    <m/>
    <n v="0"/>
  </r>
  <r>
    <s v="6105A"/>
    <s v="K124"/>
    <x v="11"/>
    <x v="4"/>
    <s v="PRC"/>
    <s v="0018"/>
    <s v="A"/>
    <x v="144"/>
    <s v="Q24050972-09-0100-H-PRC-0018"/>
    <m/>
    <s v="Project Site Wide"/>
    <s v="SOP 13.0 - Violence in the Workplace"/>
    <s v="Procedure"/>
    <s v="Project Site Wide - SOP 13.0 - Violence in the Workplace - Procedure"/>
    <m/>
    <m/>
    <m/>
    <m/>
    <n v="0"/>
  </r>
  <r>
    <s v="6105A"/>
    <s v="K124"/>
    <x v="11"/>
    <x v="4"/>
    <s v="PRC"/>
    <s v="0019"/>
    <s v="A"/>
    <x v="145"/>
    <s v="Q24050972-09-0100-H-PRC-0019"/>
    <m/>
    <s v="Project Site Wide"/>
    <s v="SOP 14.0 - Manual Handling and Ergonomics"/>
    <s v="Procedure"/>
    <s v="Project Site Wide - SOP 14.0 - Manual Handling and Ergonomics - Procedure"/>
    <m/>
    <m/>
    <m/>
    <m/>
    <n v="0"/>
  </r>
  <r>
    <s v="6105A"/>
    <s v="K124"/>
    <x v="11"/>
    <x v="4"/>
    <s v="PRC"/>
    <s v="0020"/>
    <s v="A"/>
    <x v="146"/>
    <s v="Q24050972-09-0100-H-PRC-0020"/>
    <m/>
    <s v="Project Site Wide"/>
    <s v="SOP 15.0 - Electrical Safety"/>
    <s v="Procedure"/>
    <s v="Project Site Wide - SOP 15.0 - Electrical Safety - Procedure"/>
    <m/>
    <m/>
    <m/>
    <m/>
    <n v="0"/>
  </r>
  <r>
    <s v="6105A"/>
    <s v="K124"/>
    <x v="11"/>
    <x v="4"/>
    <s v="PRC"/>
    <s v="0021"/>
    <s v="A"/>
    <x v="147"/>
    <s v="Q24050972-09-0100-H-PRC-0021"/>
    <m/>
    <s v="Project Site Wide"/>
    <s v="SOP 16.0 - OSH Requirements for People with Special Needs"/>
    <s v="Procedure"/>
    <s v="Project Site Wide - SOP 16.0 - OSH Requirements for People with Special Needs - Procedure"/>
    <m/>
    <m/>
    <m/>
    <m/>
    <n v="0"/>
  </r>
  <r>
    <s v="6105A"/>
    <s v="K124"/>
    <x v="11"/>
    <x v="4"/>
    <s v="PRC"/>
    <s v="0022"/>
    <s v="A"/>
    <x v="148"/>
    <s v="Q24050972-09-0100-H-PRC-0022"/>
    <m/>
    <s v="Project Site Wide"/>
    <s v="SOP 17.0 - Safety Signage and Signals"/>
    <s v="Procedure"/>
    <s v="Project Site Wide - SOP 17.0 - Safety Signage and Signals - Procedure"/>
    <m/>
    <m/>
    <m/>
    <m/>
    <n v="0"/>
  </r>
  <r>
    <s v="6105A"/>
    <s v="K124"/>
    <x v="11"/>
    <x v="4"/>
    <s v="PRC"/>
    <s v="0023"/>
    <s v="A"/>
    <x v="149"/>
    <s v="Q24050972-09-0100-H-PRC-0023"/>
    <m/>
    <s v="Project Site Wide"/>
    <s v="SOP 18.0 - Employer Supplied Accommodation"/>
    <s v="Procedure"/>
    <s v="Project Site Wide - SOP 18.0 - Employer Supplied Accommodation - Procedure"/>
    <m/>
    <m/>
    <m/>
    <m/>
    <n v="0"/>
  </r>
  <r>
    <s v="6105A"/>
    <s v="K124"/>
    <x v="11"/>
    <x v="4"/>
    <s v="PRC"/>
    <s v="0024"/>
    <s v="A"/>
    <x v="150"/>
    <s v="Q24050972-09-0100-H-PRC-0024"/>
    <m/>
    <s v="Project Site Wide"/>
    <s v="SOP 18.1 - Temporary Employer Supplied Accommodation"/>
    <s v="Procedure"/>
    <s v="Project Site Wide - SOP 18.1 - Temporary Employer Supplied Accommodation - Procedure"/>
    <m/>
    <m/>
    <m/>
    <m/>
    <n v="0"/>
  </r>
  <r>
    <s v="6105A"/>
    <s v="K124"/>
    <x v="11"/>
    <x v="4"/>
    <s v="PRC"/>
    <s v="0025"/>
    <s v="A"/>
    <x v="151"/>
    <s v="Q24050972-09-0100-H-PRC-0025"/>
    <m/>
    <s v="Project Site Wide"/>
    <s v="SOP 19.0 - Occupational Food Handling and Food Preparation Areas"/>
    <s v="Procedure"/>
    <s v="Project Site Wide - SOP 19.0 - Occupational Food Handling and Food Preparation Areas - Procedure"/>
    <m/>
    <m/>
    <m/>
    <m/>
    <n v="0"/>
  </r>
  <r>
    <s v="6105A"/>
    <s v="K124"/>
    <x v="11"/>
    <x v="4"/>
    <s v="PRC"/>
    <s v="0026"/>
    <s v="A"/>
    <x v="152"/>
    <s v="Q24050972-09-0100-H-PRC-0026"/>
    <m/>
    <s v="Project Site Wide"/>
    <s v="SOP 20.0 - Safety in Design (Construction)"/>
    <s v="Procedure"/>
    <s v="Project Site Wide - SOP 20.0 - Safety in Design (Construction) - Procedure"/>
    <m/>
    <m/>
    <m/>
    <m/>
    <n v="0"/>
  </r>
  <r>
    <s v="6105A"/>
    <s v="K124"/>
    <x v="11"/>
    <x v="4"/>
    <s v="PRC"/>
    <s v="0027"/>
    <s v="A"/>
    <x v="153"/>
    <s v="Q24050972-09-0100-H-PRC-0027"/>
    <m/>
    <s v="Project Site Wide"/>
    <s v="SOP 21.0 - Permit to Work Systems"/>
    <s v="Procedure"/>
    <s v="Project Site Wide - SOP 21.0 - Permit to Work Systems - Procedure"/>
    <m/>
    <m/>
    <m/>
    <m/>
    <n v="0"/>
  </r>
  <r>
    <s v="6105A"/>
    <s v="K124"/>
    <x v="11"/>
    <x v="4"/>
    <s v="PRC"/>
    <s v="0028"/>
    <s v="A"/>
    <x v="154"/>
    <s v="Q24050972-09-0100-H-PRC-0028"/>
    <m/>
    <s v="Project Site Wide"/>
    <s v="SOP 22.0 - Barricading of Hazards"/>
    <s v="Procedure"/>
    <s v="Project Site Wide - SOP 22.0 - Barricading of Hazards - Procedure"/>
    <m/>
    <m/>
    <m/>
    <m/>
    <n v="0"/>
  </r>
  <r>
    <s v="6105A"/>
    <s v="K124"/>
    <x v="11"/>
    <x v="4"/>
    <s v="PRC"/>
    <s v="0029"/>
    <s v="A"/>
    <x v="155"/>
    <s v="Q24050972-09-0100-H-PRC-0029"/>
    <m/>
    <s v="Project Site Wide"/>
    <s v="SOP 23.0 - Working at Heights"/>
    <s v="Procedure"/>
    <s v="Project Site Wide - SOP 23.0 - Working at Heights - Procedure"/>
    <m/>
    <m/>
    <m/>
    <m/>
    <n v="0"/>
  </r>
  <r>
    <s v="6105A"/>
    <s v="K124"/>
    <x v="11"/>
    <x v="4"/>
    <s v="PRC"/>
    <s v="0030"/>
    <s v="A"/>
    <x v="156"/>
    <s v="Q24050972-09-0100-H-PRC-0030"/>
    <m/>
    <s v="Project Site Wide"/>
    <s v="SOP 23.1 - Floor and Wall Openings"/>
    <s v="Procedure"/>
    <s v="Project Site Wide - SOP 23.1 - Floor and Wall Openings - Procedure"/>
    <m/>
    <m/>
    <m/>
    <m/>
    <n v="0"/>
  </r>
  <r>
    <s v="6105A"/>
    <s v="K124"/>
    <x v="11"/>
    <x v="4"/>
    <s v="PRC"/>
    <s v="0031"/>
    <s v="A"/>
    <x v="157"/>
    <s v="Q24050972-09-0100-H-PRC-0031"/>
    <m/>
    <s v="Project Site Wide"/>
    <s v="SOP 24.0 - Lock Out Tag Out"/>
    <s v="Procedure"/>
    <s v="Project Site Wide - SOP 24.0 - Lock Out Tag Out - Procedure"/>
    <m/>
    <m/>
    <m/>
    <m/>
    <n v="0"/>
  </r>
  <r>
    <s v="6105A"/>
    <s v="K124"/>
    <x v="11"/>
    <x v="4"/>
    <s v="PRC"/>
    <s v="0032"/>
    <s v="A"/>
    <x v="158"/>
    <s v="Q24050972-09-0100-H-PRC-0032"/>
    <m/>
    <s v="Project Site Wide"/>
    <s v="SOP 25.0 - Driver Fatigue"/>
    <s v="Procedure"/>
    <s v="Project Site Wide - SOP 25.0 - Driver Fatigue - Procedure"/>
    <m/>
    <m/>
    <m/>
    <m/>
    <n v="0"/>
  </r>
  <r>
    <s v="6105A"/>
    <s v="K124"/>
    <x v="11"/>
    <x v="4"/>
    <s v="PRC"/>
    <s v="0033"/>
    <s v="A"/>
    <x v="159"/>
    <s v="Q24050972-09-0100-H-PRC-0033"/>
    <m/>
    <s v="Project Site Wide"/>
    <s v="SOP 26.0 - Scaffolding"/>
    <s v="Procedure"/>
    <s v="Project Site Wide - SOP 26.0 - Scaffolding - Procedure"/>
    <m/>
    <m/>
    <m/>
    <m/>
    <n v="0"/>
  </r>
  <r>
    <s v="6105A"/>
    <s v="K124"/>
    <x v="11"/>
    <x v="4"/>
    <s v="PRC"/>
    <s v="0034"/>
    <s v="A"/>
    <x v="160"/>
    <s v="Q24050972-09-0100-H-PRC-0034"/>
    <m/>
    <s v="Project Site Wide"/>
    <s v="SOP 27.0 - Confined Space"/>
    <s v="Procedure"/>
    <s v="Project Site Wide - SOP 27.0 - Confined Space - Procedure"/>
    <m/>
    <m/>
    <m/>
    <m/>
    <n v="0"/>
  </r>
  <r>
    <s v="6105A"/>
    <s v="K124"/>
    <x v="11"/>
    <x v="4"/>
    <s v="PRC"/>
    <s v="0035"/>
    <s v="A"/>
    <x v="161"/>
    <s v="Q24050972-09-0100-H-PRC-0035"/>
    <m/>
    <s v="Project Site Wide"/>
    <s v="SOP 28.0 - Hot Work Operations"/>
    <s v="Procedure"/>
    <s v="Project Site Wide - SOP 28.0 - Hot Work Operations - Procedure"/>
    <m/>
    <m/>
    <m/>
    <m/>
    <n v="0"/>
  </r>
  <r>
    <s v="6105A"/>
    <s v="K124"/>
    <x v="11"/>
    <x v="4"/>
    <s v="PRC"/>
    <s v="0036"/>
    <s v="A"/>
    <x v="162"/>
    <s v="Q24050972-09-0100-H-PRC-0036"/>
    <m/>
    <s v="Project Site Wide"/>
    <s v="SOP 28.1 - Construction Fire Safety"/>
    <s v="Procedure"/>
    <s v="Project Site Wide - SOP 28.1 - Construction Fire Safety - Procedure"/>
    <m/>
    <m/>
    <m/>
    <m/>
    <n v="0"/>
  </r>
  <r>
    <s v="6105A"/>
    <s v="K124"/>
    <x v="11"/>
    <x v="4"/>
    <s v="PRC"/>
    <s v="0037"/>
    <s v="A"/>
    <x v="163"/>
    <s v="Q24050972-09-0100-H-PRC-0037"/>
    <m/>
    <s v="Project Site Wide"/>
    <s v="SOP 29.0 - Excavation Work"/>
    <s v="Procedure"/>
    <s v="Project Site Wide - SOP 29.0 - Excavation Work - Procedure"/>
    <m/>
    <m/>
    <m/>
    <m/>
    <n v="0"/>
  </r>
  <r>
    <s v="6105A"/>
    <s v="K124"/>
    <x v="11"/>
    <x v="4"/>
    <s v="PRC"/>
    <s v="0038"/>
    <s v="A"/>
    <x v="164"/>
    <s v="Q24050972-09-0100-H-PRC-0038"/>
    <m/>
    <s v="Project Site Wide"/>
    <s v="SOP 30.0 - Lone Working and or in Remote Locations"/>
    <s v="Procedure"/>
    <s v="Project Site Wide - SOP 30.0 - Lone Working and or in Remote Locations - Procedure"/>
    <m/>
    <m/>
    <m/>
    <m/>
    <n v="0"/>
  </r>
  <r>
    <s v="6105A"/>
    <s v="K124"/>
    <x v="11"/>
    <x v="4"/>
    <s v="PRC"/>
    <s v="0039"/>
    <s v="A"/>
    <x v="165"/>
    <s v="Q24050972-09-0100-H-PRC-0039"/>
    <m/>
    <s v="Project Site Wide"/>
    <s v="SOP 30.1 - Working in International Locations"/>
    <s v="Procedure"/>
    <s v="Project Site Wide - SOP 30.1 - Working in International Locations - Procedure"/>
    <m/>
    <m/>
    <m/>
    <m/>
    <n v="0"/>
  </r>
  <r>
    <s v="6105A"/>
    <s v="K124"/>
    <x v="11"/>
    <x v="4"/>
    <s v="PRC"/>
    <s v="0040"/>
    <s v="A"/>
    <x v="166"/>
    <s v="Q24050972-09-0100-H-PRC-0040"/>
    <m/>
    <s v="Project Site Wide"/>
    <s v="SOP 31.0 - Working On-Over or Adjacent to Water"/>
    <s v="Procedure"/>
    <s v="Project Site Wide - SOP 31.0 - Working On-Over or Adjacent to Water - Procedure"/>
    <m/>
    <m/>
    <m/>
    <m/>
    <n v="0"/>
  </r>
  <r>
    <s v="6105A"/>
    <s v="K124"/>
    <x v="11"/>
    <x v="4"/>
    <s v="PRC"/>
    <s v="0041"/>
    <s v="A"/>
    <x v="167"/>
    <s v="Q24050972-09-0100-H-PRC-0041"/>
    <m/>
    <s v="Project Site Wide"/>
    <s v="SOP 32.0 - Hazardous Materials"/>
    <s v="Procedure"/>
    <s v="Project Site Wide - SOP 32.0 - Hazardous Materials - Procedure"/>
    <m/>
    <m/>
    <m/>
    <m/>
    <n v="0"/>
  </r>
  <r>
    <s v="6105A"/>
    <s v="K124"/>
    <x v="11"/>
    <x v="4"/>
    <s v="PRC"/>
    <s v="0042"/>
    <s v="A"/>
    <x v="168"/>
    <s v="Q24050972-09-0100-H-PRC-0042"/>
    <m/>
    <s v="Project Site Wide"/>
    <s v="SOP 33.0 - Working On or Adjacent to a Road"/>
    <s v="Procedure"/>
    <s v="Project Site Wide - SOP 33.0 - Working On or Adjacent to a Road - Procedure"/>
    <m/>
    <m/>
    <m/>
    <m/>
    <n v="0"/>
  </r>
  <r>
    <s v="6105A"/>
    <s v="K124"/>
    <x v="11"/>
    <x v="4"/>
    <s v="PRC"/>
    <s v="0043"/>
    <s v="A"/>
    <x v="169"/>
    <s v="Q24050972-09-0100-H-PRC-0043"/>
    <m/>
    <s v="Project Site Wide"/>
    <s v="SOP 34.0 - Safe Use of Lifting Equipment and Lifting Accessories"/>
    <s v="Procedure"/>
    <s v="Project Site Wide - SOP 34.0 - Safe Use of Lifting Equipment and Lifting Accessories - Procedure"/>
    <m/>
    <m/>
    <m/>
    <m/>
    <n v="0"/>
  </r>
  <r>
    <s v="6105A"/>
    <s v="K124"/>
    <x v="11"/>
    <x v="4"/>
    <s v="PRC"/>
    <s v="0044"/>
    <s v="A"/>
    <x v="170"/>
    <s v="Q24050972-09-0100-H-PRC-0044"/>
    <m/>
    <s v="Project Site Wide"/>
    <s v="SOP 34.1 - Personnel Lift Plan"/>
    <s v="Procedure"/>
    <s v="Project Site Wide - SOP 34.1 - Personnel Lift Plan - Procedure"/>
    <m/>
    <m/>
    <m/>
    <m/>
    <n v="0"/>
  </r>
  <r>
    <s v="6105A"/>
    <s v="K124"/>
    <x v="11"/>
    <x v="4"/>
    <s v="PRC"/>
    <s v="0045"/>
    <s v="A"/>
    <x v="171"/>
    <s v="Q24050972-09-0100-H-PRC-0045"/>
    <m/>
    <s v="Project Site Wide"/>
    <s v="SOP 35.0 - Portable Power Tools"/>
    <s v="Procedure"/>
    <s v="Project Site Wide - SOP 35.0 - Portable Power Tools - Procedure"/>
    <m/>
    <m/>
    <m/>
    <m/>
    <n v="0"/>
  </r>
  <r>
    <s v="6105A"/>
    <s v="K124"/>
    <x v="11"/>
    <x v="4"/>
    <s v="PRC"/>
    <s v="0046"/>
    <s v="A"/>
    <x v="172"/>
    <s v="Q24050972-09-0100-H-PRC-0046"/>
    <m/>
    <s v="Project Site Wide"/>
    <s v="SOP 36.0 - Plant and Equipment"/>
    <s v="Procedure"/>
    <s v="Project Site Wide - SOP 36.0 - Plant and Equipment - Procedure"/>
    <m/>
    <m/>
    <m/>
    <m/>
    <n v="0"/>
  </r>
  <r>
    <s v="6105A"/>
    <s v="K124"/>
    <x v="11"/>
    <x v="4"/>
    <s v="PRC"/>
    <s v="0047"/>
    <s v="A"/>
    <x v="173"/>
    <s v="Q24050972-09-0100-H-PRC-0047"/>
    <m/>
    <s v="Project Site Wide"/>
    <s v="SOP 37.0 - Ladders"/>
    <s v="Procedure"/>
    <s v="Project Site Wide - SOP 37.0 - Ladders - Procedure"/>
    <m/>
    <m/>
    <m/>
    <m/>
    <n v="0"/>
  </r>
  <r>
    <s v="6105A"/>
    <s v="K124"/>
    <x v="11"/>
    <x v="4"/>
    <s v="PRC"/>
    <s v="0048"/>
    <s v="A"/>
    <x v="174"/>
    <s v="Q24050972-09-0100-H-PRC-0048"/>
    <m/>
    <s v="Project Site Wide"/>
    <s v="SOP 38.0 - Concrete Placing Equipment"/>
    <s v="Procedure"/>
    <s v="Project Site Wide - SOP 38.0 - Concrete Placing Equipment - Procedure"/>
    <m/>
    <m/>
    <m/>
    <m/>
    <n v="0"/>
  </r>
  <r>
    <s v="6105A"/>
    <s v="K124"/>
    <x v="11"/>
    <x v="4"/>
    <s v="PRC"/>
    <s v="0049"/>
    <s v="A"/>
    <x v="175"/>
    <s v="Q24050972-09-0100-H-PRC-0049"/>
    <m/>
    <s v="Project Site Wide"/>
    <s v="SOP 39.0 - Overhead and Underground Services"/>
    <s v="Procedure"/>
    <s v="Project Site Wide - SOP 39.0 - Overhead and Underground Services - Procedure"/>
    <m/>
    <m/>
    <m/>
    <m/>
    <n v="0"/>
  </r>
  <r>
    <s v="6105A"/>
    <s v="K124"/>
    <x v="11"/>
    <x v="4"/>
    <s v="PRC"/>
    <s v="0050"/>
    <s v="A"/>
    <x v="176"/>
    <s v="Q24050972-09-0100-H-PRC-0050"/>
    <m/>
    <s v="Project Site Wide"/>
    <s v="SOP 40.0 - Falsework"/>
    <s v="Procedure"/>
    <s v="Project Site Wide - SOP 40.0 - Falsework - Procedure"/>
    <m/>
    <m/>
    <m/>
    <m/>
    <n v="0"/>
  </r>
  <r>
    <s v="6105A"/>
    <s v="K124"/>
    <x v="11"/>
    <x v="4"/>
    <s v="PRC"/>
    <s v="0051"/>
    <s v="A"/>
    <x v="177"/>
    <s v="Q24050972-09-0100-H-PRC-0051"/>
    <m/>
    <s v="Project Site Wide"/>
    <s v="SOP 41.0 - Steel Erection"/>
    <s v="Procedure"/>
    <s v="Project Site Wide - SOP 41.0 - Steel Erection - Procedure"/>
    <m/>
    <m/>
    <m/>
    <m/>
    <n v="0"/>
  </r>
  <r>
    <s v="6105A"/>
    <s v="K124"/>
    <x v="11"/>
    <x v="4"/>
    <s v="PRC"/>
    <s v="0052"/>
    <s v="A"/>
    <x v="178"/>
    <s v="Q24050972-09-0100-H-PRC-0052"/>
    <m/>
    <s v="Project Site Wide"/>
    <s v="SOP 42.0 - Pre-Cast Construction"/>
    <s v="Procedure"/>
    <s v="Project Site Wide - SOP 42.0 - Pre-Cast Construction - Procedure"/>
    <m/>
    <m/>
    <m/>
    <m/>
    <n v="0"/>
  </r>
  <r>
    <s v="6105A"/>
    <s v="K124"/>
    <x v="11"/>
    <x v="4"/>
    <s v="PRC"/>
    <s v="0053"/>
    <s v="A"/>
    <x v="179"/>
    <s v="Q24050972-09-0100-H-PRC-0053"/>
    <m/>
    <s v="Project Site Wide"/>
    <s v="SOP 43.0 - Temporary Structures"/>
    <s v="Procedure"/>
    <s v="Project Site Wide - SOP 43.0 - Temporary Structures - Procedure"/>
    <m/>
    <m/>
    <m/>
    <m/>
    <n v="0"/>
  </r>
  <r>
    <s v="6105A"/>
    <s v="K124"/>
    <x v="11"/>
    <x v="4"/>
    <s v="PRC"/>
    <s v="0054"/>
    <s v="A"/>
    <x v="180"/>
    <s v="Q24050972-09-0100-H-PRC-0054"/>
    <m/>
    <s v="Project Site Wide"/>
    <s v="SOP 44.0 - Traffic Management and Logistics"/>
    <s v="Procedure"/>
    <s v="Project Site Wide - SOP 44.0 - Traffic Management and Logistics - Procedure"/>
    <m/>
    <m/>
    <m/>
    <m/>
    <n v="0"/>
  </r>
  <r>
    <s v="6105A"/>
    <s v="K124"/>
    <x v="11"/>
    <x v="4"/>
    <s v="PRC"/>
    <s v="0055"/>
    <s v="A"/>
    <x v="181"/>
    <s v="Q24050972-09-0100-H-PRC-0055"/>
    <m/>
    <s v="Project Site Wide"/>
    <s v="SOP 45.0 - Underwater Activities"/>
    <s v="Procedure"/>
    <s v="Project Site Wide - SOP 45.0 - Underwater Activities - Procedure"/>
    <m/>
    <m/>
    <m/>
    <m/>
    <n v="0"/>
  </r>
  <r>
    <s v="6105A"/>
    <s v="K124"/>
    <x v="11"/>
    <x v="4"/>
    <s v="PRC"/>
    <s v="0056"/>
    <s v="A"/>
    <x v="182"/>
    <s v="Q24050972-09-0100-H-PRC-0056"/>
    <m/>
    <s v="Project Site Wide"/>
    <s v="SOP 46.0 - Underground Construction"/>
    <s v="Procedure"/>
    <s v="Project Site Wide - SOP 46.0 - Underground Construction - Procedure"/>
    <m/>
    <m/>
    <m/>
    <m/>
    <n v="0"/>
  </r>
  <r>
    <s v="6105A"/>
    <s v="K124"/>
    <x v="11"/>
    <x v="4"/>
    <s v="PRC"/>
    <s v="0057"/>
    <s v="A"/>
    <x v="183"/>
    <s v="Q24050972-09-0100-H-PRC-0057"/>
    <m/>
    <s v="Project Site Wide"/>
    <s v="SOP 47.0 - Machine Guarding"/>
    <s v="Procedure"/>
    <s v="Project Site Wide - SOP 47.0 - Machine Guarding - Procedure"/>
    <m/>
    <m/>
    <m/>
    <m/>
    <n v="0"/>
  </r>
  <r>
    <s v="6105A"/>
    <s v="K124"/>
    <x v="11"/>
    <x v="4"/>
    <s v="PRC"/>
    <s v="0058"/>
    <s v="A"/>
    <x v="184"/>
    <s v="Q24050972-09-0100-H-PRC-0058"/>
    <m/>
    <s v="Project Site Wide"/>
    <s v="SOP 48.0 - Spray Finishing"/>
    <s v="Procedure"/>
    <s v="Project Site Wide - SOP 48.0 - Spray Finishing - Procedure"/>
    <m/>
    <m/>
    <m/>
    <m/>
    <n v="0"/>
  </r>
  <r>
    <s v="6105A"/>
    <s v="K124"/>
    <x v="11"/>
    <x v="4"/>
    <s v="PRC"/>
    <s v="0059"/>
    <s v="A"/>
    <x v="185"/>
    <s v="Q24050972-09-0100-H-PRC-0059"/>
    <m/>
    <s v="Project Site Wide"/>
    <s v="SOP 49.0 - Compressed Gases and Air"/>
    <s v="Procedure"/>
    <s v="Project Site Wide - SOP 49.0 - Compressed Gases and Air - Procedure"/>
    <m/>
    <m/>
    <m/>
    <m/>
    <n v="0"/>
  </r>
  <r>
    <s v="6105A"/>
    <s v="K124"/>
    <x v="11"/>
    <x v="4"/>
    <s v="PRC"/>
    <s v="0060"/>
    <s v="A"/>
    <x v="186"/>
    <s v="Q24050972-09-0100-H-PRC-0060"/>
    <m/>
    <s v="Project Site Wide"/>
    <s v="SOP 50.0 - Abrasive Blasting and Associated Protective Coating Work"/>
    <s v="Procedure"/>
    <s v="Project Site Wide - SOP 50.0 - Abrasive Blasting and Associated Protective Coating Work - Procedure"/>
    <m/>
    <m/>
    <m/>
    <m/>
    <n v="0"/>
  </r>
  <r>
    <s v="6105A"/>
    <s v="K124"/>
    <x v="11"/>
    <x v="4"/>
    <s v="PRC"/>
    <s v="0061"/>
    <s v="A"/>
    <x v="187"/>
    <s v="Q24050972-09-0100-H-PRC-0061"/>
    <m/>
    <s v="Project Site Wide"/>
    <s v="SOP 51.0 - Powered Lift Trucks"/>
    <s v="Procedure"/>
    <s v="Project Site Wide - SOP 51.0 - Powered Lift Trucks - Procedure"/>
    <m/>
    <m/>
    <m/>
    <m/>
    <n v="0"/>
  </r>
  <r>
    <s v="6105A"/>
    <s v="K124"/>
    <x v="11"/>
    <x v="4"/>
    <s v="PRC"/>
    <s v="0062"/>
    <s v="A"/>
    <x v="188"/>
    <s v="Q24050972-09-0100-H-PRC-0062"/>
    <m/>
    <s v="Project Site Wide"/>
    <s v="SOP 52.0 - Local Exhaust Ventilation"/>
    <s v="Procedure"/>
    <s v="Project Site Wide - SOP 52.0 - Local Exhaust Ventilation - Procedure"/>
    <m/>
    <m/>
    <m/>
    <m/>
    <n v="0"/>
  </r>
  <r>
    <s v="6105A"/>
    <s v="K124"/>
    <x v="11"/>
    <x v="4"/>
    <s v="PRC"/>
    <s v="0063"/>
    <s v="A"/>
    <x v="189"/>
    <s v="Q24050972-09-0100-H-PRC-0063"/>
    <m/>
    <s v="Project Site Wide"/>
    <s v="SOP 53.0 - OSH Management During Construction Work"/>
    <s v="Procedure"/>
    <s v="Project Site Wide - SOP 53.0 - OSH Management During Construction Work - Procedure"/>
    <m/>
    <m/>
    <m/>
    <m/>
    <n v="0"/>
  </r>
  <r>
    <s v="6105A"/>
    <s v="K124"/>
    <x v="11"/>
    <x v="4"/>
    <s v="PRC"/>
    <s v="0064"/>
    <s v="A"/>
    <x v="190"/>
    <s v="Q24050972-09-0100-H-PRC-0064"/>
    <m/>
    <s v="Project Site Wide"/>
    <s v="SOP 53.1 - OSH Construction Management Plan"/>
    <s v="Procedure"/>
    <s v="Project Site Wide - SOP 53.1 - OSH Construction Management Plan - Procedure"/>
    <m/>
    <m/>
    <m/>
    <m/>
    <n v="0"/>
  </r>
  <r>
    <s v="6105A"/>
    <s v="K124"/>
    <x v="11"/>
    <x v="4"/>
    <s v="PRC"/>
    <s v="0065"/>
    <s v="A"/>
    <x v="191"/>
    <s v="Q24050972-09-0100-H-PRC-0065"/>
    <m/>
    <s v="Project Site Wide"/>
    <s v="SOP 54.0 - Night Work"/>
    <s v="Procedure"/>
    <s v="Project Site Wide - SOP 54.0 - Night Work - Procedure"/>
    <m/>
    <m/>
    <m/>
    <m/>
    <n v="0"/>
  </r>
  <r>
    <s v="6105A"/>
    <s v="K124"/>
    <x v="11"/>
    <x v="4"/>
    <s v="PRC"/>
    <s v="0066"/>
    <s v="A"/>
    <x v="192"/>
    <s v="Q24050972-09-0100-H-PRC-0066"/>
    <m/>
    <s v="Project Site Wide"/>
    <s v="SOP 55.0 - Pandemic Preparedness"/>
    <s v="Procedure"/>
    <s v="Project Site Wide - SOP 55.0 - Pandemic Preparedness - Procedure"/>
    <m/>
    <m/>
    <m/>
    <m/>
    <n v="0"/>
  </r>
  <r>
    <s v="6105A"/>
    <s v="K124"/>
    <x v="11"/>
    <x v="4"/>
    <s v="LST"/>
    <s v="0001"/>
    <s v="A"/>
    <x v="193"/>
    <s v="Q24050972-09-0100-H-LST-0001"/>
    <m/>
    <s v="Project Site Wide"/>
    <s v="Checklist Ladder Inspection"/>
    <s v="CheckList"/>
    <s v="Project Site Wide - Checklist Ladder Inspection - CheckList"/>
    <m/>
    <m/>
    <m/>
    <m/>
    <n v="0"/>
  </r>
  <r>
    <s v="6105A"/>
    <s v="K124"/>
    <x v="11"/>
    <x v="4"/>
    <s v="LST"/>
    <s v="0002"/>
    <s v="A"/>
    <x v="194"/>
    <s v="Q24050972-09-0100-H-LST-0002"/>
    <m/>
    <s v="Project Site Wide"/>
    <s v="Checklist Safety Net Inspection"/>
    <s v="CheckList"/>
    <s v="Project Site Wide - Checklist Safety Net Inspection - CheckList"/>
    <m/>
    <m/>
    <m/>
    <m/>
    <n v="0"/>
  </r>
  <r>
    <s v="6105A"/>
    <s v="K124"/>
    <x v="11"/>
    <x v="4"/>
    <s v="LST"/>
    <s v="0003"/>
    <s v="A"/>
    <x v="195"/>
    <s v="Q24050972-09-0100-H-LST-0003"/>
    <m/>
    <s v="Project Site Wide"/>
    <s v="Checklist Harness and Lanyard Inspection"/>
    <s v="CheckList"/>
    <s v="Project Site Wide - Checklist Harness and Lanyard Inspection - CheckList"/>
    <m/>
    <m/>
    <m/>
    <m/>
    <n v="0"/>
  </r>
  <r>
    <s v="6105A"/>
    <s v="K124"/>
    <x v="11"/>
    <x v="4"/>
    <s v="LST"/>
    <s v="0004"/>
    <s v="A"/>
    <x v="196"/>
    <s v="Q24050972-09-0100-H-LST-0004"/>
    <m/>
    <s v="Project Site Wide"/>
    <s v="Checklist Ladder Inspection and Maintenance"/>
    <s v="CheckList"/>
    <s v="Project Site Wide - Checklist Ladder Inspection and Maintenance - CheckList"/>
    <m/>
    <m/>
    <m/>
    <m/>
    <n v="0"/>
  </r>
  <r>
    <s v="6105A"/>
    <s v="K124"/>
    <x v="11"/>
    <x v="4"/>
    <s v="LST"/>
    <s v="0005"/>
    <s v="A"/>
    <x v="197"/>
    <s v="Q24050972-09-0100-H-LST-0005"/>
    <m/>
    <s v="Project Site Wide"/>
    <s v="Checklist Electrical Safety"/>
    <s v="CheckList"/>
    <s v="Project Site Wide - Checklist Electrical Safety - CheckList"/>
    <m/>
    <m/>
    <m/>
    <m/>
    <n v="0"/>
  </r>
  <r>
    <s v="6105A"/>
    <s v="K124"/>
    <x v="11"/>
    <x v="4"/>
    <s v="LST"/>
    <s v="0006"/>
    <s v="A"/>
    <x v="198"/>
    <s v="Q24050972-09-0100-H-LST-0006"/>
    <m/>
    <s v="Project Site Wide"/>
    <s v="Checklist Scaffolding Inspection"/>
    <s v="CheckList"/>
    <s v="Project Site Wide - Checklist Scaffolding Inspection - CheckList"/>
    <m/>
    <m/>
    <m/>
    <m/>
    <n v="0"/>
  </r>
  <r>
    <s v="6105A"/>
    <s v="K124"/>
    <x v="11"/>
    <x v="4"/>
    <s v="LST"/>
    <s v="0007"/>
    <s v="A"/>
    <x v="199"/>
    <s v="Q24050972-09-0100-H-LST-0007"/>
    <m/>
    <s v="Project Site Wide"/>
    <s v="Checklist Utility Clearance"/>
    <s v="CheckList"/>
    <s v="Project Site Wide - Checklist Utility Clearance - CheckList"/>
    <m/>
    <m/>
    <m/>
    <m/>
    <n v="0"/>
  </r>
  <r>
    <s v="6105A"/>
    <s v="K124"/>
    <x v="11"/>
    <x v="4"/>
    <s v="LST"/>
    <s v="0008"/>
    <s v="A"/>
    <x v="200"/>
    <s v="Q24050972-09-0100-H-LST-0008"/>
    <m/>
    <s v="Project Site Wide"/>
    <s v="Checklist Daily Excavation"/>
    <s v="CheckList"/>
    <s v="Project Site Wide - Checklist Daily Excavation - CheckList"/>
    <m/>
    <m/>
    <m/>
    <m/>
    <n v="0"/>
  </r>
  <r>
    <s v="6105A"/>
    <s v="K124"/>
    <x v="11"/>
    <x v="4"/>
    <s v="LST"/>
    <s v="0009"/>
    <s v="A"/>
    <x v="201"/>
    <s v="Q24050972-09-0100-H-LST-0009"/>
    <m/>
    <s v="Project Site Wide"/>
    <s v="Checklist Crane-Suspended Personnel Platform Approval"/>
    <s v="CheckList"/>
    <s v="Project Site Wide - Checklist Crane-Suspended Personnel Platform Approval - CheckList"/>
    <m/>
    <m/>
    <m/>
    <m/>
    <n v="0"/>
  </r>
  <r>
    <s v="6105A"/>
    <s v="K124"/>
    <x v="11"/>
    <x v="4"/>
    <s v="LST"/>
    <s v="0010"/>
    <s v="A"/>
    <x v="202"/>
    <s v="Q24050972-09-0100-H-LST-0010"/>
    <m/>
    <s v="Project Site Wide"/>
    <s v="Checklist First Aid and AED Inspection"/>
    <s v="CheckList"/>
    <s v="Project Site Wide - Checklist First Aid and AED Inspection - CheckList"/>
    <m/>
    <m/>
    <m/>
    <m/>
    <n v="0"/>
  </r>
  <r>
    <s v="6105A"/>
    <s v="K124"/>
    <x v="11"/>
    <x v="4"/>
    <s v="LST"/>
    <s v="0011"/>
    <s v="A"/>
    <x v="203"/>
    <s v="Q24050972-09-0100-H-LST-0011"/>
    <m/>
    <s v="Project Site Wide"/>
    <s v="Checklist Violence in the Workplace"/>
    <s v="CheckList"/>
    <s v="Project Site Wide - Checklist Violence in the Workplace - CheckList"/>
    <m/>
    <m/>
    <m/>
    <m/>
    <n v="0"/>
  </r>
  <r>
    <s v="6105A"/>
    <s v="K124"/>
    <x v="11"/>
    <x v="4"/>
    <s v="LST"/>
    <s v="0012"/>
    <s v="A"/>
    <x v="204"/>
    <s v="Q24050972-09-0100-H-LST-0012"/>
    <m/>
    <s v="Project Site Wide"/>
    <s v="Manual Handling Assessment"/>
    <s v="CheckList"/>
    <s v="Project Site Wide - Manual Handling Assessment - CheckList"/>
    <m/>
    <m/>
    <m/>
    <m/>
    <n v="0"/>
  </r>
  <r>
    <s v="6105A"/>
    <s v="K124"/>
    <x v="11"/>
    <x v="4"/>
    <s v="LST"/>
    <s v="0013"/>
    <s v="A"/>
    <x v="205"/>
    <s v="Q24050972-09-0100-H-LST-0013"/>
    <m/>
    <s v="Project Site Wide"/>
    <s v="Employment Medical Examination Form"/>
    <s v="CheckList"/>
    <s v="Project Site Wide - Employment Medical Examination Form - CheckList"/>
    <m/>
    <m/>
    <m/>
    <m/>
    <n v="0"/>
  </r>
  <r>
    <s v="6105A"/>
    <s v="K124"/>
    <x v="11"/>
    <x v="4"/>
    <s v="LST"/>
    <s v="0014"/>
    <s v="A"/>
    <x v="206"/>
    <s v="Q24050972-09-0100-H-LST-0014"/>
    <m/>
    <s v="Project Site Wide"/>
    <s v="PPE Assessment"/>
    <s v="CheckList"/>
    <s v="Project Site Wide - PPE Assessment - CheckList"/>
    <m/>
    <m/>
    <m/>
    <m/>
    <n v="0"/>
  </r>
  <r>
    <s v="6105A"/>
    <s v="K124"/>
    <x v="11"/>
    <x v="4"/>
    <s v="LST"/>
    <s v="0015"/>
    <s v="A"/>
    <x v="207"/>
    <s v="Q24050972-09-0100-H-LST-0015"/>
    <m/>
    <s v="Project Site Wide"/>
    <s v="Workstation DSE Assessment Form"/>
    <s v="CheckList"/>
    <s v="Project Site Wide - Workstation DSE Assessment Form - CheckList"/>
    <m/>
    <m/>
    <m/>
    <m/>
    <n v="0"/>
  </r>
  <r>
    <s v="6105A"/>
    <s v="K124"/>
    <x v="11"/>
    <x v="4"/>
    <s v="SCH"/>
    <s v="0001"/>
    <s v="A"/>
    <x v="208"/>
    <s v="Q24050972-09-0100-H-SCH-0001"/>
    <m/>
    <s v="Project Site Wide"/>
    <s v="Contractor Monthly Health and Safety Monitoring Schedule"/>
    <s v="Schedule"/>
    <s v="Project Site Wide - Contractor Monthly Health and Safety Monitoring Schedule - Schedule"/>
    <m/>
    <m/>
    <m/>
    <m/>
    <n v="0"/>
  </r>
  <r>
    <s v="6105A"/>
    <s v="K124"/>
    <x v="11"/>
    <x v="4"/>
    <s v="LST"/>
    <s v="0016"/>
    <s v="A"/>
    <x v="209"/>
    <s v="Q24050972-09-0100-H-LST-0016"/>
    <m/>
    <s v="Project Site Wide"/>
    <s v="PPE Inspection"/>
    <s v="CheckList"/>
    <s v="Project Site Wide - PPE Inspection - CheckList"/>
    <m/>
    <m/>
    <m/>
    <m/>
    <n v="0"/>
  </r>
  <r>
    <s v="6105A"/>
    <s v="K124"/>
    <x v="11"/>
    <x v="4"/>
    <s v="PLN"/>
    <s v="0001"/>
    <s v="A"/>
    <x v="210"/>
    <s v="Q24050972-09-0100-H-PLN-0001"/>
    <m/>
    <s v="Project Site Wide"/>
    <s v="Lift Plan-Low Risk"/>
    <s v="Plan"/>
    <s v="Project Site Wide - Lift Plan-Low Risk - Plan"/>
    <m/>
    <m/>
    <m/>
    <m/>
    <n v="0"/>
  </r>
  <r>
    <s v="6105A"/>
    <s v="K124"/>
    <x v="11"/>
    <x v="4"/>
    <s v="PLN"/>
    <s v="0002"/>
    <s v="A"/>
    <x v="211"/>
    <s v="Q24050972-09-0100-H-PLN-0002"/>
    <m/>
    <s v="Project Site Wide"/>
    <s v="Lifting Plan - Medium-Critical Risk"/>
    <s v="Plan"/>
    <s v="Project Site Wide - Lifting Plan - Medium-Critical Risk - Plan"/>
    <m/>
    <m/>
    <m/>
    <m/>
    <n v="0"/>
  </r>
  <r>
    <s v="6105A"/>
    <s v="K124"/>
    <x v="11"/>
    <x v="4"/>
    <s v="PLN"/>
    <s v="0003"/>
    <s v="A"/>
    <x v="212"/>
    <s v="Q24050972-09-0100-H-PLN-0003"/>
    <m/>
    <s v="Project Site Wide"/>
    <s v="Critical Lift Plan"/>
    <s v="Plan"/>
    <s v="Project Site Wide - Critical Lift Plan - Plan"/>
    <m/>
    <m/>
    <m/>
    <m/>
    <n v="0"/>
  </r>
  <r>
    <s v="6105A"/>
    <s v="K124"/>
    <x v="11"/>
    <x v="4"/>
    <s v="DST"/>
    <s v="0001"/>
    <s v="A"/>
    <x v="213"/>
    <s v="Q24050972-09-0100-H-DST-0001"/>
    <m/>
    <s v="Project Site Wide"/>
    <s v="Critical Lift "/>
    <s v="Datasheet"/>
    <s v="Project Site Wide - Critical Lift  - Datasheet"/>
    <m/>
    <m/>
    <m/>
    <m/>
    <n v="0"/>
  </r>
  <r>
    <s v="6105A"/>
    <s v="K124"/>
    <x v="11"/>
    <x v="4"/>
    <s v="LST"/>
    <s v="0017"/>
    <s v="A"/>
    <x v="214"/>
    <s v="Q24050972-09-0100-H-LST-0017"/>
    <m/>
    <s v="Project Site Wide"/>
    <s v="Lifting Equipment and Accessories"/>
    <s v="Register"/>
    <s v="Project Site Wide - Lifting Equipment and Accessories - Register"/>
    <m/>
    <m/>
    <m/>
    <m/>
    <n v="0"/>
  </r>
  <r>
    <s v="6105A"/>
    <s v="K124"/>
    <x v="11"/>
    <x v="4"/>
    <s v="PLN"/>
    <s v="0004"/>
    <s v="A"/>
    <x v="215"/>
    <s v="Q24050972-09-0100-H-PLN-0004"/>
    <m/>
    <s v="Project Site Wide"/>
    <s v="Lifting Operation"/>
    <s v="Plan"/>
    <s v="Project Site Wide - Lifting Operation - Plan"/>
    <m/>
    <m/>
    <m/>
    <m/>
    <n v="0"/>
  </r>
  <r>
    <s v="6105A"/>
    <s v="K124"/>
    <x v="11"/>
    <x v="4"/>
    <s v="DST"/>
    <s v="0002"/>
    <s v="A"/>
    <x v="216"/>
    <s v="Q24050972-09-0100-H-DST-0002"/>
    <m/>
    <s v="Project Site Wide"/>
    <s v="Personnel Lift"/>
    <s v="Datasheet"/>
    <s v="Project Site Wide - Personnel Lift - Datasheet"/>
    <m/>
    <m/>
    <m/>
    <m/>
    <n v="0"/>
  </r>
  <r>
    <s v="6105A"/>
    <s v="K124"/>
    <x v="11"/>
    <x v="4"/>
    <s v="PLN"/>
    <s v="0005"/>
    <s v="A"/>
    <x v="217"/>
    <s v="Q24050972-09-0100-H-PLN-0005"/>
    <m/>
    <s v="Project Site Wide"/>
    <s v="Fall Protection"/>
    <s v="Plan"/>
    <s v="Project Site Wide - Fall Protection - Plan"/>
    <m/>
    <m/>
    <m/>
    <m/>
    <n v="0"/>
  </r>
  <r>
    <s v="6105A"/>
    <s v="K124"/>
    <x v="11"/>
    <x v="4"/>
    <s v="PLN"/>
    <s v="0006"/>
    <s v="A"/>
    <x v="218"/>
    <s v="Q24050972-09-0100-H-PLN-0006"/>
    <m/>
    <s v="Project Site Wide"/>
    <s v="Personal Emergency Evacuation"/>
    <s v="Plan"/>
    <s v="Project Site Wide - Personal Emergency Evacuation - Plan"/>
    <m/>
    <m/>
    <m/>
    <m/>
    <n v="0"/>
  </r>
  <r>
    <s v="6105A"/>
    <s v="K124"/>
    <x v="11"/>
    <x v="4"/>
    <s v="LST"/>
    <s v="0018"/>
    <s v="A"/>
    <x v="219"/>
    <s v="Q24050972-09-0100-H-LST-0018"/>
    <m/>
    <s v="Project Site Wide"/>
    <s v="Register Hazardous Materials"/>
    <s v="Register"/>
    <s v="Project Site Wide - Register Hazardous Materials - Register"/>
    <m/>
    <m/>
    <m/>
    <m/>
    <n v="0"/>
  </r>
  <r>
    <s v="6105A"/>
    <s v="K124"/>
    <x v="11"/>
    <x v="4"/>
    <s v="LST"/>
    <s v="0019"/>
    <s v="A"/>
    <x v="220"/>
    <s v="Q24050972-09-0100-H-LST-0019"/>
    <m/>
    <s v="Project Site Wide"/>
    <s v="Register Plant and Equipment"/>
    <s v="Register"/>
    <s v="Project Site Wide - Register Plant and Equipment - Register"/>
    <m/>
    <m/>
    <m/>
    <m/>
    <n v="0"/>
  </r>
  <r>
    <s v="6105A"/>
    <s v="K124"/>
    <x v="11"/>
    <x v="4"/>
    <s v="LST"/>
    <s v="0020"/>
    <s v="A"/>
    <x v="221"/>
    <s v="Q24050972-09-0100-H-LST-0020"/>
    <m/>
    <s v="Project Site Wide"/>
    <s v="Register Training First Aider"/>
    <s v="Register"/>
    <s v="Project Site Wide - Register Training First Aider - Register"/>
    <m/>
    <m/>
    <m/>
    <m/>
    <n v="0"/>
  </r>
  <r>
    <s v="6105A"/>
    <s v="K124"/>
    <x v="11"/>
    <x v="4"/>
    <s v="PRC"/>
    <s v="0067"/>
    <s v="A"/>
    <x v="222"/>
    <s v="Q24050972-09-0100-H-PRC-0067"/>
    <m/>
    <s v="Project Site Wide"/>
    <s v="Confined Space Permit to Work"/>
    <s v="Procedure"/>
    <s v="Project Site Wide - Confined Space Permit to Work - Procedure"/>
    <m/>
    <m/>
    <m/>
    <m/>
    <n v="0"/>
  </r>
  <r>
    <s v="6105A"/>
    <s v="K124"/>
    <x v="11"/>
    <x v="4"/>
    <s v="PRC"/>
    <s v="0068"/>
    <s v="A"/>
    <x v="223"/>
    <s v="Q24050972-09-0100-H-PRC-0068"/>
    <m/>
    <s v="Project Site Wide"/>
    <s v="Confined Space Permit to Enter"/>
    <s v="Procedure"/>
    <s v="Project Site Wide - Confined Space Permit to Enter - Procedure"/>
    <m/>
    <m/>
    <m/>
    <m/>
    <n v="0"/>
  </r>
  <r>
    <s v="6105A"/>
    <s v="K124"/>
    <x v="11"/>
    <x v="4"/>
    <s v="PRC"/>
    <s v="0069"/>
    <s v="A"/>
    <x v="224"/>
    <s v="Q24050972-09-0100-H-PRC-0069"/>
    <m/>
    <s v="Project Site Wide"/>
    <s v="Hot Work Permit"/>
    <s v="Procedure"/>
    <s v="Project Site Wide - Hot Work Permit - Procedure"/>
    <m/>
    <m/>
    <m/>
    <m/>
    <n v="0"/>
  </r>
  <r>
    <s v="6105A"/>
    <s v="K124"/>
    <x v="11"/>
    <x v="4"/>
    <s v="PRC"/>
    <s v="0070"/>
    <s v="A"/>
    <x v="225"/>
    <s v="Q24050972-09-0100-H-PRC-0070"/>
    <m/>
    <s v="Project Site Wide"/>
    <s v="Crane Permit"/>
    <s v="Procedure"/>
    <s v="Project Site Wide - Crane Permit - Procedure"/>
    <m/>
    <m/>
    <m/>
    <m/>
    <n v="0"/>
  </r>
  <r>
    <s v="6105A"/>
    <s v="K124"/>
    <x v="11"/>
    <x v="4"/>
    <s v="PRC"/>
    <s v="0071"/>
    <s v="A"/>
    <x v="226"/>
    <s v="Q24050972-09-0100-H-PRC-0071"/>
    <m/>
    <s v="Project Site Wide"/>
    <s v="Permit to Dig"/>
    <s v="Procedure"/>
    <s v="Project Site Wide - Permit to Dig - Procedure"/>
    <m/>
    <m/>
    <m/>
    <m/>
    <n v="0"/>
  </r>
  <r>
    <s v="6105A"/>
    <s v="K124"/>
    <x v="11"/>
    <x v="4"/>
    <s v="PRC"/>
    <s v="0072"/>
    <s v="A"/>
    <x v="227"/>
    <s v="Q24050972-09-0100-H-PRC-0072"/>
    <m/>
    <s v="Project Site Wide"/>
    <s v="Dive Permit"/>
    <s v="Procedure"/>
    <s v="Project Site Wide - Dive Permit - Procedure"/>
    <m/>
    <m/>
    <m/>
    <m/>
    <n v="0"/>
  </r>
  <r>
    <s v="6105A"/>
    <s v="K124"/>
    <x v="11"/>
    <x v="4"/>
    <s v="PRC"/>
    <s v="0073"/>
    <s v="A"/>
    <x v="228"/>
    <s v="Q24050972-09-0100-H-PRC-0073"/>
    <m/>
    <s v="Project Site Wide"/>
    <s v="Working Near Overhead Powerlines"/>
    <s v="Procedure"/>
    <s v="Project Site Wide - Working Near Overhead Powerlines - Procedure"/>
    <m/>
    <m/>
    <m/>
    <m/>
    <n v="0"/>
  </r>
  <r>
    <s v="6105A"/>
    <s v="K124"/>
    <x v="11"/>
    <x v="4"/>
    <s v="PRC"/>
    <s v="0074"/>
    <s v="A"/>
    <x v="229"/>
    <s v="Q24050972-09-0100-H-PRC-0074"/>
    <m/>
    <s v="Project Site Wide"/>
    <s v="Working at Height Permit"/>
    <s v="Procedure"/>
    <s v="Project Site Wide - Working at Height Permit - Procedure"/>
    <m/>
    <m/>
    <m/>
    <m/>
    <n v="0"/>
  </r>
  <r>
    <s v="6105A"/>
    <s v="K124"/>
    <x v="11"/>
    <x v="4"/>
    <s v="PRC"/>
    <s v="0075"/>
    <s v="A"/>
    <x v="230"/>
    <s v="Q24050972-09-0100-H-PRC-0075"/>
    <m/>
    <s v="Project Site Wide"/>
    <s v="Excavation Permit"/>
    <s v="Procedure"/>
    <s v="Project Site Wide - Excavation Permit - Procedure"/>
    <m/>
    <m/>
    <m/>
    <m/>
    <n v="0"/>
  </r>
  <r>
    <s v="6105A"/>
    <s v="K124"/>
    <x v="11"/>
    <x v="4"/>
    <s v="PRC"/>
    <s v="0076"/>
    <s v="A"/>
    <x v="231"/>
    <s v="Q24050972-09-0100-H-PRC-0076"/>
    <m/>
    <s v="Project Site Wide"/>
    <s v="Traffic Management Work Permit"/>
    <s v="Procedure"/>
    <s v="Project Site Wide - Traffic Management Work Permit - Procedure"/>
    <m/>
    <m/>
    <m/>
    <m/>
    <n v="0"/>
  </r>
  <r>
    <s v="6105A"/>
    <s v="K124"/>
    <x v="11"/>
    <x v="4"/>
    <s v="LST"/>
    <s v="0021"/>
    <s v="A"/>
    <x v="232"/>
    <s v="Q24050972-09-0100-H-LST-0021"/>
    <m/>
    <s v="Project Site Wide"/>
    <s v="Reporting 24 hr. Initial Incident"/>
    <s v="CheckList"/>
    <s v="Project Site Wide - Reporting 24 hr. Initial Incident - CheckList"/>
    <m/>
    <m/>
    <m/>
    <m/>
    <n v="0"/>
  </r>
  <r>
    <s v="6105A"/>
    <s v="K124"/>
    <x v="11"/>
    <x v="4"/>
    <s v="LST"/>
    <s v="0022"/>
    <s v="A"/>
    <x v="233"/>
    <s v="Q24050972-09-0100-H-LST-0022"/>
    <m/>
    <s v="Project Site Wide"/>
    <s v="Investigation-Serious OSH Incident"/>
    <s v="CheckList"/>
    <s v="Project Site Wide - Investigation-Serious OSH Incident - CheckList"/>
    <m/>
    <m/>
    <m/>
    <m/>
    <n v="0"/>
  </r>
  <r>
    <s v="6105A"/>
    <s v="K124"/>
    <x v="11"/>
    <x v="4"/>
    <s v="LST"/>
    <s v="0023"/>
    <s v="A"/>
    <x v="234"/>
    <s v="Q24050972-09-0100-H-LST-0023"/>
    <m/>
    <s v="Project Site Wide"/>
    <s v="Investigation Serious OSH Incident"/>
    <s v="CheckList"/>
    <s v="Project Site Wide - Investigation Serious OSH Incident - CheckList"/>
    <m/>
    <m/>
    <m/>
    <m/>
    <n v="0"/>
  </r>
  <r>
    <s v="6105A"/>
    <s v="K124"/>
    <x v="11"/>
    <x v="4"/>
    <s v="LST"/>
    <s v="0024"/>
    <s v="A"/>
    <x v="235"/>
    <s v="Q24050972-09-0100-H-LST-0024"/>
    <m/>
    <s v="Project Site Wide"/>
    <s v="Reporting First Aid Case"/>
    <s v="CheckList"/>
    <s v="Project Site Wide - Reporting First Aid Case - CheckList"/>
    <m/>
    <m/>
    <m/>
    <m/>
    <n v="0"/>
  </r>
  <r>
    <s v="6105A"/>
    <s v="K124"/>
    <x v="11"/>
    <x v="4"/>
    <s v="FRM"/>
    <s v="0001"/>
    <s v="A"/>
    <x v="236"/>
    <s v="Q24050972-09-0100-H-FRM-0001"/>
    <m/>
    <s v="Project Site Wide"/>
    <s v="Daily Safety Task Instruction DSTI"/>
    <s v="Form"/>
    <s v="Project Site Wide - Daily Safety Task Instruction DSTI - Form"/>
    <m/>
    <m/>
    <m/>
    <m/>
    <n v="0"/>
  </r>
  <r>
    <s v="6105A"/>
    <s v="K124"/>
    <x v="11"/>
    <x v="4"/>
    <s v="GDL"/>
    <s v="0002"/>
    <s v="A"/>
    <x v="237"/>
    <s v="Q24050972-07-0100-H-GDL-0002"/>
    <m/>
    <s v="Project Site Wide"/>
    <s v="RAMS-Guidance"/>
    <s v="Guideline"/>
    <s v="Project Site Wide - RAMS-Guidance - Guideline"/>
    <m/>
    <m/>
    <m/>
    <m/>
    <n v="0"/>
  </r>
  <r>
    <s v="6105A"/>
    <s v="K124"/>
    <x v="11"/>
    <x v="4"/>
    <s v="PLN"/>
    <s v="0007"/>
    <s v="A"/>
    <x v="238"/>
    <s v="Q24050972-09-0100-H-PLN-0007"/>
    <m/>
    <s v="Project Site Wide"/>
    <s v="Traffic Management Plan Goods Transportation"/>
    <s v="Plan"/>
    <s v="Project Site Wide - Traffic Management Plan Goods Transportation - Plan"/>
    <m/>
    <m/>
    <m/>
    <m/>
    <n v="0"/>
  </r>
  <r>
    <s v="6105A"/>
    <s v="K124"/>
    <x v="11"/>
    <x v="4"/>
    <s v="PLN"/>
    <s v="0008"/>
    <s v="A"/>
    <x v="239"/>
    <s v="Q24050972-09-0100-H-PLN-0008"/>
    <m/>
    <s v="Project Site Wide"/>
    <s v="Evacuation"/>
    <s v="Plan"/>
    <s v="Project Site Wide - Evacuation - Plan"/>
    <m/>
    <m/>
    <m/>
    <m/>
    <n v="0"/>
  </r>
  <r>
    <s v="6105A"/>
    <s v="K124"/>
    <x v="11"/>
    <x v="4"/>
    <s v="PLN"/>
    <s v="0009"/>
    <s v="A"/>
    <x v="240"/>
    <s v="Q24050972-09-0100-H-PLN-0009"/>
    <m/>
    <s v="Project Site Wide"/>
    <s v="Security"/>
    <s v="Plan"/>
    <s v="Project Site Wide - Security - Plan"/>
    <m/>
    <m/>
    <m/>
    <m/>
    <n v="0"/>
  </r>
  <r>
    <s v="6105A"/>
    <s v="K124"/>
    <x v="11"/>
    <x v="4"/>
    <s v="PLN"/>
    <s v="0010"/>
    <s v="A"/>
    <x v="241"/>
    <s v="Q24050972-09-0100-H-PLN-0010"/>
    <m/>
    <s v="Project Site Wide"/>
    <s v="Country Security Briefing"/>
    <s v="Plan"/>
    <s v="Project Site Wide - Country Security Briefing - Plan"/>
    <m/>
    <m/>
    <m/>
    <m/>
    <n v="0"/>
  </r>
  <r>
    <s v="6105A"/>
    <s v="K124"/>
    <x v="11"/>
    <x v="4"/>
    <s v="PLN"/>
    <s v="0011"/>
    <s v="A"/>
    <x v="242"/>
    <s v="Q24050972-09-0100-H-PLN-0011"/>
    <m/>
    <s v="Project Site Wide"/>
    <s v="Heat Stress"/>
    <s v="Plan"/>
    <s v="Project Site Wide - Heat Stress - Plan"/>
    <m/>
    <m/>
    <m/>
    <m/>
    <n v="0"/>
  </r>
  <r>
    <s v="6105A"/>
    <s v="K124"/>
    <x v="11"/>
    <x v="4"/>
    <s v="GDL"/>
    <s v="0003"/>
    <s v="A"/>
    <x v="243"/>
    <s v="Q24050972-07-0100-H-GDL-0003"/>
    <m/>
    <s v="Project Site Wide"/>
    <s v="Induction - Presentation"/>
    <s v="Guideline"/>
    <s v="Project Site Wide - Induction - Presentation - Guideline"/>
    <m/>
    <m/>
    <m/>
    <m/>
    <n v="0"/>
  </r>
  <r>
    <s v="6105A"/>
    <s v="K124"/>
    <x v="11"/>
    <x v="4"/>
    <s v="GDL"/>
    <s v="0004"/>
    <s v="A"/>
    <x v="244"/>
    <s v="Q24050972-07-0100-H-GDL-0004"/>
    <m/>
    <s v="Project Site Wide"/>
    <s v="Method Statement and Risk Assessment Guidance"/>
    <s v="Guideline"/>
    <s v="Project Site Wide - Method Statement and Risk Assessment Guidance - Guideline"/>
    <m/>
    <m/>
    <m/>
    <m/>
    <n v="0"/>
  </r>
  <r>
    <s v="6105A"/>
    <s v="K124"/>
    <x v="11"/>
    <x v="4"/>
    <s v="LST"/>
    <s v="0025"/>
    <s v="A"/>
    <x v="245"/>
    <s v="Q24050972-07-0100-H-LST-0025"/>
    <m/>
    <s v="Project Site Wide"/>
    <s v="Projects Risk "/>
    <s v="Register"/>
    <s v="Project Site Wide - Projects Risk  - Register"/>
    <m/>
    <m/>
    <m/>
    <m/>
    <n v="0"/>
  </r>
  <r>
    <s v="6105A"/>
    <s v="K124"/>
    <x v="11"/>
    <x v="4"/>
    <s v="FRM"/>
    <s v="0002"/>
    <s v="A"/>
    <x v="246"/>
    <s v="Q24050972-09-0100-H-FRM-0002"/>
    <m/>
    <s v="Project Site Wide"/>
    <s v="SHE Risk Assessment Blank"/>
    <s v="Form"/>
    <s v="Project Site Wide - SHE Risk Assessment Blank - Form"/>
    <m/>
    <m/>
    <m/>
    <m/>
    <n v="0"/>
  </r>
  <r>
    <s v="6105A"/>
    <s v="K124"/>
    <x v="11"/>
    <x v="4"/>
    <s v="FRM"/>
    <s v="0003"/>
    <s v="A"/>
    <x v="247"/>
    <s v="Q24050972-09-0100-H-FRM-0003"/>
    <m/>
    <s v="Project Site Wide"/>
    <s v="Noise SHE Risk Assessment"/>
    <s v="Form"/>
    <s v="Project Site Wide - Noise SHE Risk Assessment - Form"/>
    <m/>
    <m/>
    <m/>
    <m/>
    <n v="0"/>
  </r>
  <r>
    <s v="6105A"/>
    <s v="K124"/>
    <x v="11"/>
    <x v="4"/>
    <s v="FRM"/>
    <s v="0004"/>
    <s v="A"/>
    <x v="248"/>
    <s v="Q24050972-09-0100-H-FRM-0004"/>
    <m/>
    <s v="Project Site Wide"/>
    <s v="Risk Assessment for First Aid Provision"/>
    <s v="Form"/>
    <s v="Project Site Wide - Risk Assessment for First Aid Provision - Form"/>
    <m/>
    <m/>
    <m/>
    <m/>
    <n v="0"/>
  </r>
  <r>
    <s v="6105A"/>
    <s v="K124"/>
    <x v="11"/>
    <x v="4"/>
    <s v="FRM"/>
    <s v="0005"/>
    <s v="A"/>
    <x v="249"/>
    <s v="Q24050972-09-0100-H-FRM-0005"/>
    <m/>
    <s v="Project Site Wide"/>
    <s v="Work in Extreme Hot Conditions SHE Risk Assessment"/>
    <s v="Form"/>
    <s v="Project Site Wide - Work in Extreme Hot Conditions SHE Risk Assessment - Form"/>
    <m/>
    <m/>
    <m/>
    <m/>
    <n v="0"/>
  </r>
  <r>
    <s v="6105A"/>
    <s v="K124"/>
    <x v="11"/>
    <x v="4"/>
    <s v="FRM"/>
    <s v="0006"/>
    <s v="A"/>
    <x v="250"/>
    <s v="Q24050972-09-0100-H-FRM-0006"/>
    <m/>
    <s v="Project Site Wide"/>
    <s v="Personal Protective Equipment SHE Risk Assessment"/>
    <s v="Form"/>
    <s v="Project Site Wide - Personal Protective Equipment SHE Risk Assessment - Form"/>
    <m/>
    <m/>
    <m/>
    <m/>
    <n v="0"/>
  </r>
  <r>
    <s v="6105A"/>
    <s v="K124"/>
    <x v="11"/>
    <x v="4"/>
    <s v="FRM"/>
    <s v="0007"/>
    <s v="A"/>
    <x v="251"/>
    <s v="Q24050972-09-0100-H-FRM-0007"/>
    <m/>
    <s v="Project Site Wide"/>
    <s v="Display Screen Equipment DSE SHE Risk Assessment"/>
    <s v="Form"/>
    <s v="Project Site Wide - Display Screen Equipment DSE SHE Risk Assessment - Form"/>
    <m/>
    <m/>
    <m/>
    <m/>
    <n v="0"/>
  </r>
  <r>
    <s v="6105A"/>
    <s v="K124"/>
    <x v="11"/>
    <x v="4"/>
    <s v="FRM"/>
    <s v="0008"/>
    <s v="A"/>
    <x v="252"/>
    <s v="Q24050972-09-0100-H-FRM-0008"/>
    <m/>
    <s v="Project Site Wide"/>
    <s v="Hand Tools SHE Risk Assessment"/>
    <s v="Form"/>
    <s v="Project Site Wide - Hand Tools SHE Risk Assessment - Form"/>
    <m/>
    <m/>
    <m/>
    <m/>
    <n v="0"/>
  </r>
  <r>
    <s v="6105A"/>
    <s v="K124"/>
    <x v="11"/>
    <x v="4"/>
    <s v="FRM"/>
    <s v="0009"/>
    <s v="A"/>
    <x v="253"/>
    <s v="Q24050972-09-0100-H-FRM-0009"/>
    <m/>
    <s v="Project Site Wide"/>
    <s v="Legionnaires Disease SHE Risk Assessment"/>
    <s v="Form"/>
    <s v="Project Site Wide - Legionnaires Disease SHE Risk Assessment - Form"/>
    <m/>
    <m/>
    <m/>
    <m/>
    <n v="0"/>
  </r>
  <r>
    <s v="6105A"/>
    <s v="K124"/>
    <x v="11"/>
    <x v="4"/>
    <s v="FRM"/>
    <s v="0010"/>
    <s v="A"/>
    <x v="254"/>
    <s v="Q24050972-09-0100-H-FRM-0010"/>
    <m/>
    <s v="Project Site Wide"/>
    <s v="Working at Height SHE Risk Assessment"/>
    <s v="Form"/>
    <s v="Project Site Wide - Working at Height SHE Risk Assessment - Form"/>
    <m/>
    <m/>
    <m/>
    <m/>
    <n v="0"/>
  </r>
  <r>
    <s v="6105A"/>
    <s v="K124"/>
    <x v="11"/>
    <x v="4"/>
    <s v="FRM"/>
    <s v="0011"/>
    <s v="A"/>
    <x v="255"/>
    <s v="Q24050972-09-0100-H-FRM-0011"/>
    <m/>
    <s v="Project Site Wide"/>
    <s v="Driving SHE Risk Assessment"/>
    <s v="Form"/>
    <s v="Project Site Wide - Driving SHE Risk Assessment - Form"/>
    <m/>
    <m/>
    <m/>
    <m/>
    <n v="0"/>
  </r>
  <r>
    <s v="6105A"/>
    <s v="K124"/>
    <x v="11"/>
    <x v="4"/>
    <s v="FRM"/>
    <s v="0012"/>
    <s v="A"/>
    <x v="256"/>
    <s v="Q24050972-09-0100-H-FRM-0012"/>
    <m/>
    <s v="Project Site Wide"/>
    <s v="Access on Working Scaffolds SHE Risk Assessment"/>
    <s v="Form"/>
    <s v="Project Site Wide - Access on Working Scaffolds SHE Risk Assessment - Form"/>
    <m/>
    <m/>
    <m/>
    <m/>
    <n v="0"/>
  </r>
  <r>
    <s v="6105A"/>
    <s v="K124"/>
    <x v="11"/>
    <x v="4"/>
    <s v="FRM"/>
    <s v="0013"/>
    <s v="A"/>
    <x v="257"/>
    <s v="Q24050972-09-0100-H-FRM-0013"/>
    <m/>
    <s v="Project Site Wide"/>
    <s v="Mobile Scaffold Towers  SHE Risk Assessment"/>
    <s v="Form"/>
    <s v="Project Site Wide - Mobile Scaffold Towers  SHE Risk Assessment - Form"/>
    <m/>
    <m/>
    <m/>
    <m/>
    <n v="0"/>
  </r>
  <r>
    <s v="6105A"/>
    <s v="K124"/>
    <x v="11"/>
    <x v="4"/>
    <s v="FRM"/>
    <s v="0014"/>
    <s v="A"/>
    <x v="258"/>
    <s v="Q24050972-09-0100-H-FRM-0014"/>
    <m/>
    <s v="Project Site Wide"/>
    <s v="Confined Space Entry SHE Risk Assessment"/>
    <s v="Form"/>
    <s v="Project Site Wide - Confined Space Entry SHE Risk Assessment - Form"/>
    <m/>
    <m/>
    <m/>
    <m/>
    <n v="0"/>
  </r>
  <r>
    <s v="6105A"/>
    <s v="K124"/>
    <x v="11"/>
    <x v="4"/>
    <s v="FRM"/>
    <s v="0015"/>
    <s v="A"/>
    <x v="259"/>
    <s v="Q24050972-09-0100-H-FRM-0015"/>
    <m/>
    <s v="Project Site Wide"/>
    <s v="Fire SHE Risk Assessment"/>
    <s v="Form"/>
    <s v="Project Site Wide - Fire SHE Risk Assessment - Form"/>
    <m/>
    <m/>
    <m/>
    <m/>
    <n v="0"/>
  </r>
  <r>
    <s v="6105A"/>
    <s v="K124"/>
    <x v="11"/>
    <x v="4"/>
    <s v="FRM"/>
    <s v="0016"/>
    <s v="A"/>
    <x v="260"/>
    <s v="Q24050972-09-0100-H-FRM-0016"/>
    <m/>
    <s v="Project Site Wide"/>
    <s v="Excavations SHE Risk Assessment"/>
    <s v="Form"/>
    <s v="Project Site Wide - Excavations SHE Risk Assessment - Form"/>
    <m/>
    <m/>
    <m/>
    <m/>
    <n v="0"/>
  </r>
  <r>
    <s v="6105A"/>
    <s v="K124"/>
    <x v="11"/>
    <x v="4"/>
    <s v="FRM"/>
    <s v="0017"/>
    <s v="A"/>
    <x v="261"/>
    <s v="Q24050972-09-0100-H-FRM-0017"/>
    <m/>
    <s v="Project Site Wide"/>
    <s v="Lone Working Risk Assessment"/>
    <s v="Form"/>
    <s v="Project Site Wide - Lone Working Risk Assessment - Form"/>
    <m/>
    <m/>
    <m/>
    <m/>
    <n v="0"/>
  </r>
  <r>
    <s v="6105A"/>
    <s v="K124"/>
    <x v="11"/>
    <x v="4"/>
    <s v="FRM"/>
    <s v="0018"/>
    <s v="A"/>
    <x v="262"/>
    <s v="Q24050972-09-0100-H-FRM-0018"/>
    <m/>
    <s v="Project Site Wide"/>
    <s v="Travel Abroad SHE Risk Assessment"/>
    <s v="Form"/>
    <s v="Project Site Wide - Travel Abroad SHE Risk Assessment - Form"/>
    <m/>
    <m/>
    <m/>
    <m/>
    <n v="0"/>
  </r>
  <r>
    <s v="6105A"/>
    <s v="K124"/>
    <x v="11"/>
    <x v="4"/>
    <s v="FRM"/>
    <s v="0019"/>
    <s v="A"/>
    <x v="263"/>
    <s v="Q24050972-09-0100-H-FRM-0019"/>
    <m/>
    <s v="Project Site Wide"/>
    <s v="Working Over Water SHE Risk Assessment"/>
    <s v="Form"/>
    <s v="Project Site Wide - Working Over Water SHE Risk Assessment - Form"/>
    <m/>
    <m/>
    <m/>
    <m/>
    <n v="0"/>
  </r>
  <r>
    <s v="6105A"/>
    <s v="K124"/>
    <x v="11"/>
    <x v="4"/>
    <s v="FRM"/>
    <s v="0020"/>
    <s v="A"/>
    <x v="264"/>
    <s v="Q24050972-09-0100-H-FRM-0020"/>
    <m/>
    <s v="Project Site Wide"/>
    <s v="Roadworks SHE Risk Assessment"/>
    <s v="Form"/>
    <s v="Project Site Wide - Roadworks SHE Risk Assessment - Form"/>
    <m/>
    <m/>
    <m/>
    <m/>
    <n v="0"/>
  </r>
  <r>
    <s v="6105A"/>
    <s v="K124"/>
    <x v="11"/>
    <x v="4"/>
    <s v="FRM"/>
    <s v="0021"/>
    <s v="A"/>
    <x v="265"/>
    <s v="Q24050972-09-0100-H-FRM-0021"/>
    <m/>
    <s v="Project Site Wide"/>
    <s v="Electrical Tools SHE Risk-Assessment (2)"/>
    <s v="Form"/>
    <s v="Project Site Wide - Electrical Tools SHE Risk-Assessment (2) - Form"/>
    <m/>
    <m/>
    <m/>
    <m/>
    <n v="0"/>
  </r>
  <r>
    <s v="6105A"/>
    <s v="K124"/>
    <x v="11"/>
    <x v="4"/>
    <s v="FRM"/>
    <s v="0022"/>
    <s v="A"/>
    <x v="266"/>
    <s v="Q24050972-09-0100-H-FRM-0022"/>
    <m/>
    <s v="Project Site Wide"/>
    <s v="Electrical Tools SHE Risk Assessment"/>
    <s v="Form"/>
    <s v="Project Site Wide - Electrical Tools SHE Risk Assessment - Form"/>
    <m/>
    <m/>
    <m/>
    <m/>
    <n v="0"/>
  </r>
  <r>
    <s v="6105A"/>
    <s v="K124"/>
    <x v="11"/>
    <x v="4"/>
    <s v="FRM"/>
    <s v="0023"/>
    <s v="A"/>
    <x v="267"/>
    <s v="Q24050972-09-0100-H-FRM-0023"/>
    <m/>
    <s v="Project Site Wide"/>
    <s v="Use of Ladders for Work at Height SHE Risk Assessment"/>
    <s v="Form"/>
    <s v="Project Site Wide - Use of Ladders for Work at Height SHE Risk Assessment - Form"/>
    <m/>
    <m/>
    <m/>
    <m/>
    <n v="0"/>
  </r>
  <r>
    <s v="6105A"/>
    <s v="K124"/>
    <x v="11"/>
    <x v="4"/>
    <s v="FRM"/>
    <s v="0024"/>
    <s v="A"/>
    <x v="268"/>
    <s v="Q24050972-09-0100-H-FRM-0024"/>
    <m/>
    <s v="Project Site Wide"/>
    <s v="Placing Concrete SHE Risk Assessment"/>
    <s v="Form"/>
    <s v="Project Site Wide - Placing Concrete SHE Risk Assessment - Form"/>
    <m/>
    <m/>
    <m/>
    <m/>
    <n v="0"/>
  </r>
  <r>
    <s v="6105A"/>
    <s v="K124"/>
    <x v="11"/>
    <x v="4"/>
    <s v="FRM"/>
    <s v="0025"/>
    <s v="A"/>
    <x v="269"/>
    <s v="Q24050972-09-0100-H-FRM-0025"/>
    <m/>
    <s v="Project Site Wide"/>
    <s v="Brickwork and Blockwork  SHE Risk Assessment"/>
    <s v="Form"/>
    <s v="Project Site Wide - Brickwork and Blockwork  SHE Risk Assessment - Form"/>
    <m/>
    <m/>
    <m/>
    <m/>
    <n v="0"/>
  </r>
  <r>
    <s v="6105A"/>
    <s v="K124"/>
    <x v="11"/>
    <x v="4"/>
    <s v="FRM"/>
    <s v="0026"/>
    <s v="A"/>
    <x v="270"/>
    <s v="Q24050972-09-0100-H-FRM-0026"/>
    <m/>
    <s v="Project Site Wide"/>
    <s v="Falseworks Risk Assessment"/>
    <s v="Form"/>
    <s v="Project Site Wide - Falseworks Risk Assessment - Form"/>
    <m/>
    <m/>
    <m/>
    <m/>
    <n v="0"/>
  </r>
  <r>
    <s v="6105A"/>
    <s v="K124"/>
    <x v="11"/>
    <x v="4"/>
    <s v="FRM"/>
    <s v="0027"/>
    <s v="A"/>
    <x v="271"/>
    <s v="Q24050972-09-0100-H-FRM-0027"/>
    <m/>
    <s v="Project Site Wide"/>
    <s v="Temporary Electrical Supplies SHE Risk Assessment (2)"/>
    <s v="Form"/>
    <s v="Project Site Wide - Temporary Electrical Supplies SHE Risk Assessment (2) - Form"/>
    <m/>
    <m/>
    <m/>
    <m/>
    <n v="0"/>
  </r>
  <r>
    <s v="6105A"/>
    <s v="K124"/>
    <x v="11"/>
    <x v="4"/>
    <s v="FRM"/>
    <s v="0028"/>
    <s v="A"/>
    <x v="272"/>
    <s v="Q24050972-09-0100-H-FRM-0028"/>
    <m/>
    <s v="Project Site Wide"/>
    <s v="Temporary Electrical Supplies SHE Risk Assessment"/>
    <s v="Form"/>
    <s v="Project Site Wide - Temporary Electrical Supplies SHE Risk Assessment - Form"/>
    <m/>
    <m/>
    <m/>
    <m/>
    <n v="0"/>
  </r>
  <r>
    <s v="6105A"/>
    <s v="K124"/>
    <x v="11"/>
    <x v="4"/>
    <s v="FRM"/>
    <s v="0029"/>
    <s v="A"/>
    <x v="273"/>
    <s v="Q24050972-09-0100-H-FRM-0029"/>
    <m/>
    <s v="Project Site Wide"/>
    <s v="Buried Services SHE Risk Assessment"/>
    <s v="Form"/>
    <s v="Project Site Wide - Buried Services SHE Risk Assessment - Form"/>
    <m/>
    <m/>
    <m/>
    <m/>
    <n v="0"/>
  </r>
  <r>
    <s v="6105A"/>
    <s v="K124"/>
    <x v="11"/>
    <x v="4"/>
    <s v="PRC"/>
    <s v="0077"/>
    <s v="A"/>
    <x v="274"/>
    <s v="Q24050972-09-0100-H-PRC-0077"/>
    <m/>
    <s v="Project Site Wide"/>
    <s v="SOP-PQQ1-HSE"/>
    <s v="Procedure"/>
    <s v="Project Site Wide - SOP-PQQ1-HSE - Procedure"/>
    <m/>
    <m/>
    <m/>
    <m/>
    <n v="0"/>
  </r>
  <r>
    <s v="6105A"/>
    <s v="K124"/>
    <x v="11"/>
    <x v="4"/>
    <s v="PRC"/>
    <s v="0078"/>
    <s v="A"/>
    <x v="275"/>
    <s v="Q24050972-09-0100-H-PRC-0078"/>
    <m/>
    <s v="Project Site Wide"/>
    <s v="PQQ2-Questionaire HSE"/>
    <s v="Procedure"/>
    <s v="Project Site Wide - PQQ2-Questionaire HSE - Procedure"/>
    <m/>
    <m/>
    <m/>
    <m/>
    <n v="0"/>
  </r>
  <r>
    <s v="6105A"/>
    <s v="K124"/>
    <x v="11"/>
    <x v="4"/>
    <s v="PRC"/>
    <s v="0079"/>
    <s v="A"/>
    <x v="276"/>
    <s v="Q24050972-09-0100-H-PRC-0079"/>
    <m/>
    <s v="Project Site Wide"/>
    <s v="PQQ3-Contractor Guidance"/>
    <s v="Procedure"/>
    <s v="Project Site Wide - PQQ3-Contractor Guidance - Procedure"/>
    <m/>
    <m/>
    <m/>
    <m/>
    <n v="0"/>
  </r>
  <r>
    <s v="6105A"/>
    <s v="K124"/>
    <x v="11"/>
    <x v="4"/>
    <s v="PRC"/>
    <s v="0080"/>
    <s v="A"/>
    <x v="277"/>
    <s v="Q24050972-09-0100-H-PRC-0080"/>
    <m/>
    <s v="Project Site Wide"/>
    <s v="HSE PQQ4-Scoring Sheet"/>
    <s v="Procedure"/>
    <s v="Project Site Wide - HSE PQQ4-Scoring Sheet - Procedure"/>
    <m/>
    <m/>
    <m/>
    <m/>
    <n v="0"/>
  </r>
  <r>
    <s v="6105A"/>
    <s v="K124"/>
    <x v="11"/>
    <x v="4"/>
    <s v="PRC"/>
    <s v="0081"/>
    <s v="A"/>
    <x v="278"/>
    <s v="Q24050972-09-0100-H-PRC-0081"/>
    <m/>
    <s v="Project Site Wide"/>
    <s v="PQQ5-Document Flowchart"/>
    <s v="Procedure"/>
    <s v="Project Site Wide - PQQ5-Document Flowchart - Procedure"/>
    <m/>
    <m/>
    <m/>
    <m/>
    <n v="0"/>
  </r>
  <r>
    <s v="6105A"/>
    <s v="K124"/>
    <x v="11"/>
    <x v="4"/>
    <s v="PRC"/>
    <s v="0082"/>
    <s v="A"/>
    <x v="279"/>
    <s v="Q24050972-09-0100-H-PRC-0082"/>
    <m/>
    <s v="Project Site Wide"/>
    <s v="Two Week Lookahead"/>
    <s v="Procedure"/>
    <s v="Project Site Wide - Two Week Lookahead - Procedure"/>
    <m/>
    <m/>
    <m/>
    <m/>
    <n v="0"/>
  </r>
  <r>
    <s v="6105A"/>
    <s v="K124"/>
    <x v="11"/>
    <x v="4"/>
    <s v="FRM"/>
    <s v="0030"/>
    <s v="A"/>
    <x v="280"/>
    <s v="Q24050972-09-0100-H-FRM-0030"/>
    <m/>
    <s v="Project Site Wide"/>
    <s v="Two-Week-Lookahead"/>
    <s v="Form"/>
    <s v="Project Site Wide - Two-Week-Lookahead - Form"/>
    <m/>
    <m/>
    <m/>
    <m/>
    <n v="0"/>
  </r>
  <r>
    <s v="6105A"/>
    <s v="K124"/>
    <x v="11"/>
    <x v="4"/>
    <s v="GDL"/>
    <s v="0005"/>
    <s v="A"/>
    <x v="281"/>
    <s v="Q24050972-09-0100-H-GDL-0005"/>
    <m/>
    <s v="Project Site Wide"/>
    <s v="E&amp;I Supervisor Roles and Responsibilities"/>
    <s v="Guideline"/>
    <s v="Project Site Wide - E&amp;I Supervisor Roles and Responsibilities - Guideline"/>
    <m/>
    <m/>
    <m/>
    <m/>
    <n v="0"/>
  </r>
  <r>
    <s v="6105A"/>
    <s v="K124"/>
    <x v="11"/>
    <x v="4"/>
    <s v="LST"/>
    <s v="0026"/>
    <s v="A"/>
    <x v="282"/>
    <s v="Q24050972-09-0100-H-LST-0026"/>
    <m/>
    <s v="Project Site Wide"/>
    <s v="E&amp;I Supervisor Daily Inspection "/>
    <s v="CheckList"/>
    <s v="Project Site Wide - E&amp;I Supervisor Daily Inspection  - CheckList"/>
    <m/>
    <m/>
    <m/>
    <m/>
    <n v="0"/>
  </r>
  <r>
    <s v="6105A"/>
    <s v="K124"/>
    <x v="11"/>
    <x v="4"/>
    <s v="LST"/>
    <s v="0027"/>
    <s v="A"/>
    <x v="283"/>
    <s v="Q24050972-09-0100-H-LST-0027"/>
    <m/>
    <s v="Project Site Wide"/>
    <s v="Safe Behavioral Observation"/>
    <s v="CheckList"/>
    <s v="Project Site Wide - Safe Behavioral Observation - CheckList"/>
    <m/>
    <m/>
    <m/>
    <m/>
    <n v="0"/>
  </r>
  <r>
    <s v="6105A"/>
    <s v="K124"/>
    <x v="11"/>
    <x v="4"/>
    <s v="RPT"/>
    <s v="0001"/>
    <s v="A"/>
    <x v="284"/>
    <s v="Q24050972-09-0100-H-RPT-0001"/>
    <m/>
    <s v="Project Site Wide"/>
    <s v=" Contractors’ Weekly Safety Statistics "/>
    <s v="Report"/>
    <s v="Project Site Wide -  Contractors’ Weekly Safety Statistics  - Report"/>
    <m/>
    <m/>
    <m/>
    <m/>
    <n v="0"/>
  </r>
  <r>
    <s v="6105A"/>
    <s v="K124"/>
    <x v="11"/>
    <x v="4"/>
    <s v="PLN"/>
    <s v="0012"/>
    <s v="A"/>
    <x v="285"/>
    <s v="Q24050972-09-0100-H-PLN-0012"/>
    <m/>
    <s v="Project Site Wide"/>
    <s v="Fatigue Management"/>
    <s v="Plan"/>
    <s v="Project Site Wide - Fatigue Management - Plan"/>
    <m/>
    <m/>
    <m/>
    <m/>
    <n v="0"/>
  </r>
  <r>
    <s v="6105A"/>
    <s v="K124"/>
    <x v="11"/>
    <x v="4"/>
    <s v="SUM"/>
    <s v="0001"/>
    <s v="A"/>
    <x v="286"/>
    <s v="Q24050972-09-0100-H-SUM-0001"/>
    <m/>
    <s v="Project Site Wide"/>
    <s v="Abbreviations and Terminology Manual"/>
    <s v="Summary"/>
    <s v="Project Site Wide - Abbreviations and Terminology Manual - Summary"/>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9BFD98-CD66-48B3-BDF7-2E43A5E15662}" name="PivotTable1" cacheId="3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324" firstHeaderRow="1" firstDataRow="1" firstDataCol="3"/>
  <pivotFields count="19">
    <pivotField compact="0" outline="0" showAll="0"/>
    <pivotField compact="0" outline="0" showAll="0"/>
    <pivotField axis="axisRow" compact="0" outline="0" showAll="0">
      <items count="14">
        <item x="1"/>
        <item x="12"/>
        <item x="2"/>
        <item x="3"/>
        <item x="4"/>
        <item x="5"/>
        <item x="6"/>
        <item x="7"/>
        <item x="8"/>
        <item x="9"/>
        <item x="10"/>
        <item x="0"/>
        <item x="11"/>
        <item t="default"/>
      </items>
    </pivotField>
    <pivotField axis="axisRow" compact="0" outline="0" showAll="0">
      <items count="6">
        <item x="2"/>
        <item x="1"/>
        <item x="0"/>
        <item x="4"/>
        <item x="3"/>
        <item t="default"/>
      </items>
    </pivotField>
    <pivotField compact="0" outline="0" showAll="0"/>
    <pivotField compact="0" outline="0" showAll="0"/>
    <pivotField compact="0" outline="0" showAll="0"/>
    <pivotField axis="axisRow" compact="0" outline="0" showAll="0">
      <items count="288">
        <item x="85"/>
        <item x="0"/>
        <item x="89"/>
        <item x="90"/>
        <item x="213"/>
        <item x="216"/>
        <item x="236"/>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80"/>
        <item x="88"/>
        <item x="237"/>
        <item x="243"/>
        <item x="244"/>
        <item x="281"/>
        <item x="193"/>
        <item x="194"/>
        <item x="195"/>
        <item x="196"/>
        <item x="197"/>
        <item x="198"/>
        <item x="199"/>
        <item x="200"/>
        <item x="201"/>
        <item x="202"/>
        <item x="203"/>
        <item x="204"/>
        <item x="205"/>
        <item x="206"/>
        <item x="207"/>
        <item x="209"/>
        <item x="214"/>
        <item x="219"/>
        <item x="220"/>
        <item x="221"/>
        <item x="232"/>
        <item x="233"/>
        <item x="234"/>
        <item x="235"/>
        <item x="245"/>
        <item x="282"/>
        <item x="283"/>
        <item x="87"/>
        <item x="210"/>
        <item x="211"/>
        <item x="212"/>
        <item x="215"/>
        <item x="217"/>
        <item x="218"/>
        <item x="238"/>
        <item x="239"/>
        <item x="240"/>
        <item x="241"/>
        <item x="242"/>
        <item x="285"/>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222"/>
        <item x="223"/>
        <item x="224"/>
        <item x="225"/>
        <item x="226"/>
        <item x="227"/>
        <item x="228"/>
        <item x="229"/>
        <item x="230"/>
        <item x="231"/>
        <item x="274"/>
        <item x="275"/>
        <item x="276"/>
        <item x="277"/>
        <item x="278"/>
        <item x="279"/>
        <item x="284"/>
        <item x="208"/>
        <item x="86"/>
        <item x="286"/>
        <item x="7"/>
        <item x="4"/>
        <item x="5"/>
        <item x="6"/>
        <item x="1"/>
        <item x="3"/>
        <item x="2"/>
        <item x="104"/>
        <item x="105"/>
        <item x="9"/>
        <item x="10"/>
        <item x="11"/>
        <item x="12"/>
        <item x="13"/>
        <item x="8"/>
        <item x="110"/>
        <item x="111"/>
        <item x="112"/>
        <item x="113"/>
        <item x="114"/>
        <item x="115"/>
        <item x="116"/>
        <item x="117"/>
        <item x="118"/>
        <item x="119"/>
        <item x="120"/>
        <item x="121"/>
        <item x="122"/>
        <item x="123"/>
        <item x="124"/>
        <item x="16"/>
        <item x="15"/>
        <item x="17"/>
        <item x="14"/>
        <item x="20"/>
        <item x="21"/>
        <item x="26"/>
        <item x="125"/>
        <item x="109"/>
        <item x="19"/>
        <item x="27"/>
        <item x="28"/>
        <item x="29"/>
        <item x="30"/>
        <item x="31"/>
        <item x="32"/>
        <item x="33"/>
        <item x="34"/>
        <item x="106"/>
        <item x="126"/>
        <item x="107"/>
        <item x="108"/>
        <item x="18"/>
        <item x="23"/>
        <item x="24"/>
        <item x="25"/>
        <item x="22"/>
        <item x="96"/>
        <item x="97"/>
        <item x="98"/>
        <item x="99"/>
        <item x="100"/>
        <item x="101"/>
        <item x="102"/>
        <item x="103"/>
        <item x="47"/>
        <item x="48"/>
        <item x="49"/>
        <item x="41"/>
        <item x="46"/>
        <item x="35"/>
        <item x="36"/>
        <item x="37"/>
        <item x="38"/>
        <item x="39"/>
        <item x="42"/>
        <item x="43"/>
        <item x="44"/>
        <item x="45"/>
        <item x="40"/>
        <item x="53"/>
        <item x="51"/>
        <item x="54"/>
        <item x="55"/>
        <item x="56"/>
        <item x="50"/>
        <item x="52"/>
        <item x="57"/>
        <item x="58"/>
        <item x="59"/>
        <item x="61"/>
        <item x="62"/>
        <item x="67"/>
        <item x="68"/>
        <item x="69"/>
        <item x="63"/>
        <item x="64"/>
        <item x="60"/>
        <item x="65"/>
        <item x="66"/>
        <item x="70"/>
        <item x="71"/>
        <item x="72"/>
        <item x="73"/>
        <item x="74"/>
        <item x="75"/>
        <item x="76"/>
        <item x="77"/>
        <item x="78"/>
        <item x="79"/>
        <item x="91"/>
        <item x="92"/>
        <item x="93"/>
        <item x="94"/>
        <item x="95"/>
        <item x="81"/>
        <item x="82"/>
        <item x="83"/>
        <item x="84"/>
        <item x="8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9" outline="0" showAll="0"/>
  </pivotFields>
  <rowFields count="3">
    <field x="2"/>
    <field x="3"/>
    <field x="7"/>
  </rowFields>
  <rowItems count="321">
    <i>
      <x/>
      <x/>
      <x v="167"/>
    </i>
    <i t="default" r="1">
      <x/>
    </i>
    <i r="1">
      <x v="1"/>
      <x v="168"/>
    </i>
    <i r="2">
      <x v="169"/>
    </i>
    <i r="2">
      <x v="170"/>
    </i>
    <i r="2">
      <x v="171"/>
    </i>
    <i r="2">
      <x v="172"/>
    </i>
    <i r="2">
      <x v="173"/>
    </i>
    <i t="default" r="1">
      <x v="1"/>
    </i>
    <i t="default">
      <x/>
    </i>
    <i>
      <x v="1"/>
      <x v="1"/>
      <x v="174"/>
    </i>
    <i r="2">
      <x v="175"/>
    </i>
    <i t="default" r="1">
      <x v="1"/>
    </i>
    <i t="default">
      <x v="1"/>
    </i>
    <i>
      <x v="2"/>
      <x v="1"/>
      <x v="176"/>
    </i>
    <i r="2">
      <x v="177"/>
    </i>
    <i r="2">
      <x v="178"/>
    </i>
    <i r="2">
      <x v="179"/>
    </i>
    <i r="2">
      <x v="180"/>
    </i>
    <i r="2">
      <x v="181"/>
    </i>
    <i t="default" r="1">
      <x v="1"/>
    </i>
    <i r="1">
      <x v="4"/>
      <x v="182"/>
    </i>
    <i r="2">
      <x v="183"/>
    </i>
    <i r="2">
      <x v="184"/>
    </i>
    <i r="2">
      <x v="185"/>
    </i>
    <i r="2">
      <x v="186"/>
    </i>
    <i r="2">
      <x v="187"/>
    </i>
    <i r="2">
      <x v="188"/>
    </i>
    <i r="2">
      <x v="189"/>
    </i>
    <i r="2">
      <x v="190"/>
    </i>
    <i r="2">
      <x v="191"/>
    </i>
    <i r="2">
      <x v="192"/>
    </i>
    <i r="2">
      <x v="193"/>
    </i>
    <i r="2">
      <x v="194"/>
    </i>
    <i r="2">
      <x v="195"/>
    </i>
    <i r="2">
      <x v="196"/>
    </i>
    <i t="default" r="1">
      <x v="4"/>
    </i>
    <i t="default">
      <x v="2"/>
    </i>
    <i>
      <x v="3"/>
      <x v="1"/>
      <x v="197"/>
    </i>
    <i r="2">
      <x v="198"/>
    </i>
    <i r="2">
      <x v="199"/>
    </i>
    <i r="2">
      <x v="200"/>
    </i>
    <i t="default" r="1">
      <x v="1"/>
    </i>
    <i t="default">
      <x v="3"/>
    </i>
    <i>
      <x v="4"/>
      <x v="1"/>
      <x v="201"/>
    </i>
    <i r="2">
      <x v="202"/>
    </i>
    <i r="2">
      <x v="203"/>
    </i>
    <i r="2">
      <x v="204"/>
    </i>
    <i r="2">
      <x v="205"/>
    </i>
    <i r="2">
      <x v="206"/>
    </i>
    <i r="2">
      <x v="207"/>
    </i>
    <i r="2">
      <x v="208"/>
    </i>
    <i r="2">
      <x v="209"/>
    </i>
    <i r="2">
      <x v="210"/>
    </i>
    <i r="2">
      <x v="211"/>
    </i>
    <i r="2">
      <x v="212"/>
    </i>
    <i r="2">
      <x v="213"/>
    </i>
    <i r="2">
      <x v="214"/>
    </i>
    <i r="2">
      <x v="215"/>
    </i>
    <i r="2">
      <x v="216"/>
    </i>
    <i r="2">
      <x v="217"/>
    </i>
    <i r="2">
      <x v="218"/>
    </i>
    <i r="2">
      <x v="219"/>
    </i>
    <i r="2">
      <x v="220"/>
    </i>
    <i r="2">
      <x v="221"/>
    </i>
    <i r="2">
      <x v="222"/>
    </i>
    <i r="2">
      <x v="223"/>
    </i>
    <i t="default" r="1">
      <x v="1"/>
    </i>
    <i r="1">
      <x v="4"/>
      <x v="224"/>
    </i>
    <i r="2">
      <x v="225"/>
    </i>
    <i r="2">
      <x v="226"/>
    </i>
    <i r="2">
      <x v="227"/>
    </i>
    <i r="2">
      <x v="228"/>
    </i>
    <i r="2">
      <x v="229"/>
    </i>
    <i r="2">
      <x v="230"/>
    </i>
    <i r="2">
      <x v="231"/>
    </i>
    <i t="default" r="1">
      <x v="4"/>
    </i>
    <i t="default">
      <x v="4"/>
    </i>
    <i>
      <x v="5"/>
      <x v="1"/>
      <x v="232"/>
    </i>
    <i r="2">
      <x v="233"/>
    </i>
    <i r="2">
      <x v="234"/>
    </i>
    <i r="2">
      <x v="235"/>
    </i>
    <i r="2">
      <x v="236"/>
    </i>
    <i t="default" r="1">
      <x v="1"/>
    </i>
    <i r="1">
      <x v="4"/>
      <x v="237"/>
    </i>
    <i r="2">
      <x v="238"/>
    </i>
    <i r="2">
      <x v="239"/>
    </i>
    <i r="2">
      <x v="240"/>
    </i>
    <i r="2">
      <x v="241"/>
    </i>
    <i r="2">
      <x v="242"/>
    </i>
    <i r="2">
      <x v="243"/>
    </i>
    <i r="2">
      <x v="244"/>
    </i>
    <i r="2">
      <x v="245"/>
    </i>
    <i r="2">
      <x v="246"/>
    </i>
    <i t="default" r="1">
      <x v="4"/>
    </i>
    <i t="default">
      <x v="5"/>
    </i>
    <i>
      <x v="6"/>
      <x v="1"/>
      <x v="247"/>
    </i>
    <i r="2">
      <x v="248"/>
    </i>
    <i r="2">
      <x v="249"/>
    </i>
    <i r="2">
      <x v="250"/>
    </i>
    <i r="2">
      <x v="251"/>
    </i>
    <i r="2">
      <x v="252"/>
    </i>
    <i r="2">
      <x v="253"/>
    </i>
    <i t="default" r="1">
      <x v="1"/>
    </i>
    <i t="default">
      <x v="6"/>
    </i>
    <i>
      <x v="7"/>
      <x v="1"/>
      <x v="254"/>
    </i>
    <i r="2">
      <x v="255"/>
    </i>
    <i t="default" r="1">
      <x v="1"/>
    </i>
    <i t="default">
      <x v="7"/>
    </i>
    <i>
      <x v="8"/>
      <x v="1"/>
      <x v="256"/>
    </i>
    <i t="default" r="1">
      <x v="1"/>
    </i>
    <i t="default">
      <x v="8"/>
    </i>
    <i>
      <x v="9"/>
      <x v="1"/>
      <x v="257"/>
    </i>
    <i r="2">
      <x v="258"/>
    </i>
    <i r="2">
      <x v="259"/>
    </i>
    <i r="2">
      <x v="260"/>
    </i>
    <i r="2">
      <x v="261"/>
    </i>
    <i r="2">
      <x v="262"/>
    </i>
    <i r="2">
      <x v="263"/>
    </i>
    <i r="2">
      <x v="264"/>
    </i>
    <i r="2">
      <x v="265"/>
    </i>
    <i r="2">
      <x v="266"/>
    </i>
    <i t="default" r="1">
      <x v="1"/>
    </i>
    <i r="1">
      <x v="4"/>
      <x v="267"/>
    </i>
    <i r="2">
      <x v="268"/>
    </i>
    <i r="2">
      <x v="269"/>
    </i>
    <i r="2">
      <x v="270"/>
    </i>
    <i r="2">
      <x v="271"/>
    </i>
    <i r="2">
      <x v="272"/>
    </i>
    <i r="2">
      <x v="273"/>
    </i>
    <i r="2">
      <x v="274"/>
    </i>
    <i r="2">
      <x v="275"/>
    </i>
    <i r="2">
      <x v="276"/>
    </i>
    <i r="2">
      <x v="277"/>
    </i>
    <i r="2">
      <x v="278"/>
    </i>
    <i r="2">
      <x v="279"/>
    </i>
    <i r="2">
      <x v="280"/>
    </i>
    <i r="2">
      <x v="281"/>
    </i>
    <i t="default" r="1">
      <x v="4"/>
    </i>
    <i t="default">
      <x v="9"/>
    </i>
    <i>
      <x v="10"/>
      <x v="1"/>
      <x v="282"/>
    </i>
    <i r="2">
      <x v="283"/>
    </i>
    <i r="2">
      <x v="284"/>
    </i>
    <i r="2">
      <x v="285"/>
    </i>
    <i r="2">
      <x v="286"/>
    </i>
    <i t="default" r="1">
      <x v="1"/>
    </i>
    <i t="default">
      <x v="10"/>
    </i>
    <i>
      <x v="11"/>
      <x/>
      <x/>
    </i>
    <i t="default" r="1">
      <x/>
    </i>
    <i r="1">
      <x v="2"/>
      <x v="1"/>
    </i>
    <i t="default" r="1">
      <x v="2"/>
    </i>
    <i t="default">
      <x v="11"/>
    </i>
    <i>
      <x v="12"/>
      <x v="1"/>
      <x v="2"/>
    </i>
    <i r="2">
      <x v="3"/>
    </i>
    <i t="default" r="1">
      <x v="1"/>
    </i>
    <i r="1">
      <x v="3"/>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2">
      <x v="151"/>
    </i>
    <i r="2">
      <x v="152"/>
    </i>
    <i r="2">
      <x v="153"/>
    </i>
    <i r="2">
      <x v="154"/>
    </i>
    <i r="2">
      <x v="155"/>
    </i>
    <i r="2">
      <x v="156"/>
    </i>
    <i r="2">
      <x v="157"/>
    </i>
    <i r="2">
      <x v="158"/>
    </i>
    <i r="2">
      <x v="159"/>
    </i>
    <i r="2">
      <x v="160"/>
    </i>
    <i r="2">
      <x v="161"/>
    </i>
    <i r="2">
      <x v="162"/>
    </i>
    <i r="2">
      <x v="163"/>
    </i>
    <i r="2">
      <x v="164"/>
    </i>
    <i r="2">
      <x v="165"/>
    </i>
    <i r="2">
      <x v="166"/>
    </i>
    <i t="default" r="1">
      <x v="3"/>
    </i>
    <i t="default">
      <x v="12"/>
    </i>
    <i t="grand">
      <x/>
    </i>
  </rowItems>
  <colItems count="1">
    <i/>
  </colItems>
  <dataFields count="1">
    <dataField name="Sum of % Complete" fld="18"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2EE336-310C-4A93-B069-18F9113F77C1}" name="K137SDDR" displayName="K137SDDR" ref="A2:V1201" totalsRowShown="0" headerRowDxfId="26" dataDxfId="25" headerRowBorderDxfId="23" tableBorderDxfId="24">
  <autoFilter ref="A2:V1201" xr:uid="{852EE336-310C-4A93-B069-18F9113F77C1}">
    <filterColumn colId="7">
      <filters>
        <filter val="6105AK137-6280-EDST-0004"/>
      </filters>
    </filterColumn>
  </autoFilter>
  <tableColumns count="22">
    <tableColumn id="1" xr3:uid="{18ACC871-5D21-4190-BED3-E9FF6EA36711}" name="Project Number" dataDxfId="22"/>
    <tableColumn id="2" xr3:uid="{A7FCCEED-7BD1-436E-A4A1-CD8CDCBB7D5D}" name="Package Number" dataDxfId="21"/>
    <tableColumn id="3" xr3:uid="{276152FF-9829-4D51-A64F-A10EFA6149DE}" name="Area/ WBS No." dataDxfId="20"/>
    <tableColumn id="4" xr3:uid="{F3CF7A41-486B-432C-8C20-E265DA119B50}" name="Discipline" dataDxfId="19"/>
    <tableColumn id="5" xr3:uid="{022B08F3-D4BD-4412-A5AB-17EE2BC77530}" name="Document Type" dataDxfId="18"/>
    <tableColumn id="6" xr3:uid="{2BE91C28-6AAD-44F5-9E1E-9D3BC74612E6}" name="Sequential Number" dataDxfId="17"/>
    <tableColumn id="7" xr3:uid="{DD009C72-13D5-4381-B1B1-5E7FDC46C256}" name="Revision" dataDxfId="16"/>
    <tableColumn id="8" xr3:uid="{A2614FD5-5BF2-43BA-9D3F-FA3ABF10660A}" name="Document Number" dataDxfId="15"/>
    <tableColumn id="17" xr3:uid="{8EEAA018-E583-49F4-8548-6298D04DB9B2}" name="PPE Doc Status" dataDxfId="14"/>
    <tableColumn id="9" xr3:uid="{F337B7B7-87DA-43AF-BC7C-6CE1426C05F6}" name="Sht. # of #" dataDxfId="13"/>
    <tableColumn id="10" xr3:uid="{F4223F05-002A-404C-AC8E-02A01542A3BA}" name="Area / Facility" dataDxfId="12"/>
    <tableColumn id="11" xr3:uid="{DF3C913A-2FB7-420E-994D-6E7994218654}" name="Major Description" dataDxfId="11"/>
    <tableColumn id="12" xr3:uid="{26048B3B-0431-4533-9EA9-89DA63C55B4D}" name="Broad Type" dataDxfId="10"/>
    <tableColumn id="13" xr3:uid="{EA57CB61-AC30-44BE-83CC-79C29F4D712F}" name="Full Title" dataDxfId="9"/>
    <tableColumn id="14" xr3:uid="{B39DC406-D610-4CED-9225-9F45EBCC2CD8}" name="Due Date" dataDxfId="8"/>
    <tableColumn id="15" xr3:uid="{AE00C1FC-9435-4BED-B3A2-9405995FCD7C}" name="IFR Transmittal Date" dataDxfId="7"/>
    <tableColumn id="16" xr3:uid="{9523749B-7159-4F1C-9244-74771E98C715}" name="IFC/IFU Transmittal Date" dataDxfId="6"/>
    <tableColumn id="18" xr3:uid="{647F1DAC-DEBD-4CD4-9E1B-E32862FD456D}" name="% Complete" dataDxfId="5"/>
    <tableColumn id="19" xr3:uid="{1E67C61F-8949-43C2-BE3A-730640B5CDB6}" name="As Built Required (Y/N)" dataDxfId="4"/>
    <tableColumn id="20" xr3:uid="{BBDFE735-4985-462F-A52A-17C8D3F86676}" name="Certified Final Required (Y/N)" dataDxfId="3"/>
    <tableColumn id="21" xr3:uid="{00E77B5C-16A6-471A-B6F8-992A046D4186}" name="Tag Number (if any)" dataDxfId="2"/>
    <tableColumn id="22" xr3:uid="{C5A1B252-53EF-439B-AC8A-56DE9AAA4F16}" name="Comment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88C72-917E-407C-B768-634DF4D7F1D6}">
  <sheetPr codeName="Sheet1"/>
  <dimension ref="A3:D324"/>
  <sheetViews>
    <sheetView workbookViewId="0">
      <selection activeCell="J32" sqref="J32"/>
    </sheetView>
  </sheetViews>
  <sheetFormatPr defaultRowHeight="15"/>
  <cols>
    <col min="1" max="1" width="16.28515625" bestFit="1" customWidth="1"/>
    <col min="2" max="2" width="12.42578125" bestFit="1" customWidth="1"/>
    <col min="3" max="3" width="27" bestFit="1" customWidth="1"/>
    <col min="4" max="4" width="19" bestFit="1" customWidth="1"/>
  </cols>
  <sheetData>
    <row r="3" spans="1:4">
      <c r="A3" s="120" t="s">
        <v>0</v>
      </c>
      <c r="B3" s="120" t="s">
        <v>1</v>
      </c>
      <c r="C3" s="120" t="s">
        <v>2</v>
      </c>
      <c r="D3" t="s">
        <v>3</v>
      </c>
    </row>
    <row r="4" spans="1:4">
      <c r="A4">
        <v>6200</v>
      </c>
      <c r="B4" t="s">
        <v>4</v>
      </c>
      <c r="C4" t="s">
        <v>5</v>
      </c>
      <c r="D4" s="121">
        <v>0.33329999999999999</v>
      </c>
    </row>
    <row r="5" spans="1:4">
      <c r="B5" t="s">
        <v>6</v>
      </c>
      <c r="D5" s="121">
        <v>0.33329999999999999</v>
      </c>
    </row>
    <row r="6" spans="1:4">
      <c r="B6" t="s">
        <v>7</v>
      </c>
      <c r="C6" t="s">
        <v>8</v>
      </c>
      <c r="D6" s="121">
        <v>0</v>
      </c>
    </row>
    <row r="7" spans="1:4">
      <c r="C7" t="s">
        <v>9</v>
      </c>
      <c r="D7" s="121">
        <v>0</v>
      </c>
    </row>
    <row r="8" spans="1:4">
      <c r="C8" t="s">
        <v>10</v>
      </c>
      <c r="D8" s="121">
        <v>0</v>
      </c>
    </row>
    <row r="9" spans="1:4">
      <c r="C9" t="s">
        <v>11</v>
      </c>
      <c r="D9" s="121">
        <v>0</v>
      </c>
    </row>
    <row r="10" spans="1:4">
      <c r="C10" t="s">
        <v>12</v>
      </c>
      <c r="D10" s="121">
        <v>0</v>
      </c>
    </row>
    <row r="11" spans="1:4">
      <c r="C11" t="s">
        <v>13</v>
      </c>
      <c r="D11" s="121">
        <v>0</v>
      </c>
    </row>
    <row r="12" spans="1:4">
      <c r="B12" t="s">
        <v>14</v>
      </c>
      <c r="D12" s="121">
        <v>0</v>
      </c>
    </row>
    <row r="13" spans="1:4">
      <c r="A13" t="s">
        <v>15</v>
      </c>
      <c r="D13" s="121">
        <v>0.33329999999999999</v>
      </c>
    </row>
    <row r="14" spans="1:4">
      <c r="A14">
        <v>6240</v>
      </c>
      <c r="B14" t="s">
        <v>7</v>
      </c>
      <c r="C14" t="s">
        <v>16</v>
      </c>
      <c r="D14" s="121">
        <v>0</v>
      </c>
    </row>
    <row r="15" spans="1:4">
      <c r="C15" t="s">
        <v>17</v>
      </c>
      <c r="D15" s="121">
        <v>0</v>
      </c>
    </row>
    <row r="16" spans="1:4">
      <c r="B16" t="s">
        <v>14</v>
      </c>
      <c r="D16" s="121">
        <v>0</v>
      </c>
    </row>
    <row r="17" spans="1:4">
      <c r="A17" t="s">
        <v>18</v>
      </c>
      <c r="D17" s="121">
        <v>0</v>
      </c>
    </row>
    <row r="18" spans="1:4">
      <c r="A18">
        <v>6243</v>
      </c>
      <c r="B18" t="s">
        <v>7</v>
      </c>
      <c r="C18" t="s">
        <v>19</v>
      </c>
      <c r="D18" s="121">
        <v>0.33329999999999999</v>
      </c>
    </row>
    <row r="19" spans="1:4">
      <c r="C19" t="s">
        <v>20</v>
      </c>
      <c r="D19" s="121">
        <v>0.33329999999999999</v>
      </c>
    </row>
    <row r="20" spans="1:4">
      <c r="C20" t="s">
        <v>21</v>
      </c>
      <c r="D20" s="121">
        <v>0.33329999999999999</v>
      </c>
    </row>
    <row r="21" spans="1:4">
      <c r="C21" t="s">
        <v>22</v>
      </c>
      <c r="D21" s="121">
        <v>0.33329999999999999</v>
      </c>
    </row>
    <row r="22" spans="1:4">
      <c r="C22" t="s">
        <v>23</v>
      </c>
      <c r="D22" s="121">
        <v>0.33329999999999999</v>
      </c>
    </row>
    <row r="23" spans="1:4">
      <c r="C23" t="s">
        <v>24</v>
      </c>
      <c r="D23" s="121">
        <v>0.33329999999999999</v>
      </c>
    </row>
    <row r="24" spans="1:4">
      <c r="B24" t="s">
        <v>14</v>
      </c>
      <c r="D24" s="121">
        <v>1.9997999999999998</v>
      </c>
    </row>
    <row r="25" spans="1:4">
      <c r="B25" t="s">
        <v>25</v>
      </c>
      <c r="C25" t="s">
        <v>26</v>
      </c>
      <c r="D25" s="121">
        <v>0.33329999999999999</v>
      </c>
    </row>
    <row r="26" spans="1:4">
      <c r="C26" t="s">
        <v>27</v>
      </c>
      <c r="D26" s="121">
        <v>0.33329999999999999</v>
      </c>
    </row>
    <row r="27" spans="1:4">
      <c r="C27" t="s">
        <v>28</v>
      </c>
      <c r="D27" s="121">
        <v>0.33329999999999999</v>
      </c>
    </row>
    <row r="28" spans="1:4">
      <c r="C28" t="s">
        <v>29</v>
      </c>
      <c r="D28" s="121">
        <v>0.33329999999999999</v>
      </c>
    </row>
    <row r="29" spans="1:4">
      <c r="C29" t="s">
        <v>30</v>
      </c>
      <c r="D29" s="121">
        <v>0.33329999999999999</v>
      </c>
    </row>
    <row r="30" spans="1:4">
      <c r="C30" t="s">
        <v>31</v>
      </c>
      <c r="D30" s="121">
        <v>0.33329999999999999</v>
      </c>
    </row>
    <row r="31" spans="1:4">
      <c r="C31" t="s">
        <v>32</v>
      </c>
      <c r="D31" s="121">
        <v>0.33329999999999999</v>
      </c>
    </row>
    <row r="32" spans="1:4">
      <c r="C32" t="s">
        <v>33</v>
      </c>
      <c r="D32" s="121">
        <v>0.33329999999999999</v>
      </c>
    </row>
    <row r="33" spans="1:4">
      <c r="C33" t="s">
        <v>34</v>
      </c>
      <c r="D33" s="121">
        <v>0.33329999999999999</v>
      </c>
    </row>
    <row r="34" spans="1:4">
      <c r="C34" t="s">
        <v>35</v>
      </c>
      <c r="D34" s="121">
        <v>0.33329999999999999</v>
      </c>
    </row>
    <row r="35" spans="1:4">
      <c r="C35" t="s">
        <v>36</v>
      </c>
      <c r="D35" s="121">
        <v>0.33329999999999999</v>
      </c>
    </row>
    <row r="36" spans="1:4">
      <c r="C36" t="s">
        <v>37</v>
      </c>
      <c r="D36" s="121">
        <v>0.33329999999999999</v>
      </c>
    </row>
    <row r="37" spans="1:4">
      <c r="C37" t="s">
        <v>38</v>
      </c>
      <c r="D37" s="121">
        <v>0</v>
      </c>
    </row>
    <row r="38" spans="1:4">
      <c r="C38" t="s">
        <v>39</v>
      </c>
      <c r="D38" s="121">
        <v>0</v>
      </c>
    </row>
    <row r="39" spans="1:4">
      <c r="C39" t="s">
        <v>40</v>
      </c>
      <c r="D39" s="121">
        <v>0</v>
      </c>
    </row>
    <row r="40" spans="1:4">
      <c r="B40" t="s">
        <v>41</v>
      </c>
      <c r="D40" s="121">
        <v>3.9995999999999996</v>
      </c>
    </row>
    <row r="41" spans="1:4">
      <c r="A41" t="s">
        <v>42</v>
      </c>
      <c r="D41" s="121">
        <v>5.9994000000000014</v>
      </c>
    </row>
    <row r="42" spans="1:4">
      <c r="A42">
        <v>6250</v>
      </c>
      <c r="B42" t="s">
        <v>7</v>
      </c>
      <c r="C42" t="s">
        <v>43</v>
      </c>
      <c r="D42" s="121">
        <v>0.33329999999999999</v>
      </c>
    </row>
    <row r="43" spans="1:4">
      <c r="C43" t="s">
        <v>44</v>
      </c>
      <c r="D43" s="121">
        <v>0.33329999999999999</v>
      </c>
    </row>
    <row r="44" spans="1:4">
      <c r="C44" t="s">
        <v>45</v>
      </c>
      <c r="D44" s="121">
        <v>0.33329999999999999</v>
      </c>
    </row>
    <row r="45" spans="1:4">
      <c r="C45" t="s">
        <v>46</v>
      </c>
      <c r="D45" s="121">
        <v>0.33329999999999999</v>
      </c>
    </row>
    <row r="46" spans="1:4">
      <c r="B46" t="s">
        <v>14</v>
      </c>
      <c r="D46" s="121">
        <v>1.3331999999999999</v>
      </c>
    </row>
    <row r="47" spans="1:4">
      <c r="A47" t="s">
        <v>47</v>
      </c>
      <c r="D47" s="121">
        <v>1.3331999999999999</v>
      </c>
    </row>
    <row r="48" spans="1:4">
      <c r="A48">
        <v>6260</v>
      </c>
      <c r="B48" t="s">
        <v>7</v>
      </c>
      <c r="C48" t="s">
        <v>48</v>
      </c>
      <c r="D48" s="121">
        <v>0.33329999999999999</v>
      </c>
    </row>
    <row r="49" spans="3:4">
      <c r="C49" t="s">
        <v>49</v>
      </c>
      <c r="D49" s="121">
        <v>0</v>
      </c>
    </row>
    <row r="50" spans="3:4">
      <c r="C50" t="s">
        <v>50</v>
      </c>
      <c r="D50" s="121">
        <v>0</v>
      </c>
    </row>
    <row r="51" spans="3:4">
      <c r="C51" t="s">
        <v>51</v>
      </c>
      <c r="D51" s="121">
        <v>0</v>
      </c>
    </row>
    <row r="52" spans="3:4">
      <c r="C52" t="s">
        <v>52</v>
      </c>
      <c r="D52" s="121">
        <v>0.33329999999999999</v>
      </c>
    </row>
    <row r="53" spans="3:4">
      <c r="C53" t="s">
        <v>53</v>
      </c>
      <c r="D53" s="121">
        <v>0.33329999999999999</v>
      </c>
    </row>
    <row r="54" spans="3:4">
      <c r="C54" t="s">
        <v>54</v>
      </c>
      <c r="D54" s="121">
        <v>0</v>
      </c>
    </row>
    <row r="55" spans="3:4">
      <c r="C55" t="s">
        <v>55</v>
      </c>
      <c r="D55" s="121">
        <v>0</v>
      </c>
    </row>
    <row r="56" spans="3:4">
      <c r="C56" t="s">
        <v>56</v>
      </c>
      <c r="D56" s="121">
        <v>0</v>
      </c>
    </row>
    <row r="57" spans="3:4">
      <c r="C57" t="s">
        <v>57</v>
      </c>
      <c r="D57" s="121">
        <v>0</v>
      </c>
    </row>
    <row r="58" spans="3:4">
      <c r="C58" t="s">
        <v>58</v>
      </c>
      <c r="D58" s="121">
        <v>0</v>
      </c>
    </row>
    <row r="59" spans="3:4">
      <c r="C59" t="s">
        <v>59</v>
      </c>
      <c r="D59" s="121">
        <v>0</v>
      </c>
    </row>
    <row r="60" spans="3:4">
      <c r="C60" t="s">
        <v>60</v>
      </c>
      <c r="D60" s="121">
        <v>0</v>
      </c>
    </row>
    <row r="61" spans="3:4">
      <c r="C61" t="s">
        <v>61</v>
      </c>
      <c r="D61" s="121">
        <v>0</v>
      </c>
    </row>
    <row r="62" spans="3:4">
      <c r="C62" t="s">
        <v>62</v>
      </c>
      <c r="D62" s="121">
        <v>0</v>
      </c>
    </row>
    <row r="63" spans="3:4">
      <c r="C63" t="s">
        <v>63</v>
      </c>
      <c r="D63" s="121">
        <v>0</v>
      </c>
    </row>
    <row r="64" spans="3:4">
      <c r="C64" t="s">
        <v>64</v>
      </c>
      <c r="D64" s="121">
        <v>0</v>
      </c>
    </row>
    <row r="65" spans="2:4">
      <c r="C65" t="s">
        <v>65</v>
      </c>
      <c r="D65" s="121">
        <v>0.33329999999999999</v>
      </c>
    </row>
    <row r="66" spans="2:4">
      <c r="C66" t="s">
        <v>66</v>
      </c>
      <c r="D66" s="121">
        <v>0.33329999999999999</v>
      </c>
    </row>
    <row r="67" spans="2:4">
      <c r="C67" t="s">
        <v>67</v>
      </c>
      <c r="D67" s="121">
        <v>0</v>
      </c>
    </row>
    <row r="68" spans="2:4">
      <c r="C68" t="s">
        <v>68</v>
      </c>
      <c r="D68" s="121">
        <v>0</v>
      </c>
    </row>
    <row r="69" spans="2:4">
      <c r="C69" t="s">
        <v>69</v>
      </c>
      <c r="D69" s="121">
        <v>0</v>
      </c>
    </row>
    <row r="70" spans="2:4">
      <c r="C70" t="s">
        <v>70</v>
      </c>
      <c r="D70" s="121">
        <v>0</v>
      </c>
    </row>
    <row r="71" spans="2:4">
      <c r="B71" t="s">
        <v>14</v>
      </c>
      <c r="D71" s="121">
        <v>1.6664999999999999</v>
      </c>
    </row>
    <row r="72" spans="2:4">
      <c r="B72" t="s">
        <v>25</v>
      </c>
      <c r="C72" t="s">
        <v>71</v>
      </c>
      <c r="D72" s="121">
        <v>0</v>
      </c>
    </row>
    <row r="73" spans="2:4">
      <c r="C73" t="s">
        <v>72</v>
      </c>
      <c r="D73" s="121">
        <v>0</v>
      </c>
    </row>
    <row r="74" spans="2:4">
      <c r="C74" t="s">
        <v>73</v>
      </c>
      <c r="D74" s="121">
        <v>0</v>
      </c>
    </row>
    <row r="75" spans="2:4">
      <c r="C75" t="s">
        <v>74</v>
      </c>
      <c r="D75" s="121">
        <v>0</v>
      </c>
    </row>
    <row r="76" spans="2:4">
      <c r="C76" t="s">
        <v>75</v>
      </c>
      <c r="D76" s="121">
        <v>0</v>
      </c>
    </row>
    <row r="77" spans="2:4">
      <c r="C77" t="s">
        <v>76</v>
      </c>
      <c r="D77" s="121">
        <v>0</v>
      </c>
    </row>
    <row r="78" spans="2:4">
      <c r="C78" t="s">
        <v>77</v>
      </c>
      <c r="D78" s="121">
        <v>0</v>
      </c>
    </row>
    <row r="79" spans="2:4">
      <c r="C79" t="s">
        <v>78</v>
      </c>
      <c r="D79" s="121">
        <v>0</v>
      </c>
    </row>
    <row r="80" spans="2:4">
      <c r="B80" t="s">
        <v>41</v>
      </c>
      <c r="D80" s="121">
        <v>0</v>
      </c>
    </row>
    <row r="81" spans="1:4">
      <c r="A81" t="s">
        <v>79</v>
      </c>
      <c r="D81" s="121">
        <v>1.6664999999999999</v>
      </c>
    </row>
    <row r="82" spans="1:4">
      <c r="A82">
        <v>6262</v>
      </c>
      <c r="B82" t="s">
        <v>7</v>
      </c>
      <c r="C82" t="s">
        <v>80</v>
      </c>
      <c r="D82" s="121">
        <v>0</v>
      </c>
    </row>
    <row r="83" spans="1:4">
      <c r="C83" t="s">
        <v>81</v>
      </c>
      <c r="D83" s="121">
        <v>0</v>
      </c>
    </row>
    <row r="84" spans="1:4">
      <c r="C84" t="s">
        <v>82</v>
      </c>
      <c r="D84" s="121">
        <v>0</v>
      </c>
    </row>
    <row r="85" spans="1:4">
      <c r="C85" t="s">
        <v>83</v>
      </c>
      <c r="D85" s="121">
        <v>0</v>
      </c>
    </row>
    <row r="86" spans="1:4">
      <c r="C86" t="s">
        <v>84</v>
      </c>
      <c r="D86" s="121">
        <v>0</v>
      </c>
    </row>
    <row r="87" spans="1:4">
      <c r="B87" t="s">
        <v>14</v>
      </c>
      <c r="D87" s="121">
        <v>0</v>
      </c>
    </row>
    <row r="88" spans="1:4">
      <c r="B88" t="s">
        <v>25</v>
      </c>
      <c r="C88" t="s">
        <v>85</v>
      </c>
      <c r="D88" s="121">
        <v>0</v>
      </c>
    </row>
    <row r="89" spans="1:4">
      <c r="C89" t="s">
        <v>86</v>
      </c>
      <c r="D89" s="121">
        <v>0</v>
      </c>
    </row>
    <row r="90" spans="1:4">
      <c r="C90" t="s">
        <v>87</v>
      </c>
      <c r="D90" s="121">
        <v>0</v>
      </c>
    </row>
    <row r="91" spans="1:4">
      <c r="C91" t="s">
        <v>88</v>
      </c>
      <c r="D91" s="121">
        <v>0</v>
      </c>
    </row>
    <row r="92" spans="1:4">
      <c r="C92" t="s">
        <v>89</v>
      </c>
      <c r="D92" s="121">
        <v>0</v>
      </c>
    </row>
    <row r="93" spans="1:4">
      <c r="C93" t="s">
        <v>90</v>
      </c>
      <c r="D93" s="121">
        <v>0</v>
      </c>
    </row>
    <row r="94" spans="1:4">
      <c r="C94" t="s">
        <v>91</v>
      </c>
      <c r="D94" s="121">
        <v>0</v>
      </c>
    </row>
    <row r="95" spans="1:4">
      <c r="C95" t="s">
        <v>92</v>
      </c>
      <c r="D95" s="121">
        <v>0</v>
      </c>
    </row>
    <row r="96" spans="1:4">
      <c r="C96" t="s">
        <v>93</v>
      </c>
      <c r="D96" s="121">
        <v>0</v>
      </c>
    </row>
    <row r="97" spans="1:4">
      <c r="C97" t="s">
        <v>94</v>
      </c>
      <c r="D97" s="121">
        <v>0</v>
      </c>
    </row>
    <row r="98" spans="1:4">
      <c r="B98" t="s">
        <v>41</v>
      </c>
      <c r="D98" s="121">
        <v>0</v>
      </c>
    </row>
    <row r="99" spans="1:4">
      <c r="A99" t="s">
        <v>95</v>
      </c>
      <c r="D99" s="121">
        <v>0</v>
      </c>
    </row>
    <row r="100" spans="1:4">
      <c r="A100">
        <v>6263</v>
      </c>
      <c r="B100" t="s">
        <v>7</v>
      </c>
      <c r="C100" t="s">
        <v>96</v>
      </c>
      <c r="D100" s="121">
        <v>0</v>
      </c>
    </row>
    <row r="101" spans="1:4">
      <c r="C101" t="s">
        <v>97</v>
      </c>
      <c r="D101" s="121">
        <v>0</v>
      </c>
    </row>
    <row r="102" spans="1:4">
      <c r="C102" t="s">
        <v>98</v>
      </c>
      <c r="D102" s="121">
        <v>0</v>
      </c>
    </row>
    <row r="103" spans="1:4">
      <c r="C103" t="s">
        <v>99</v>
      </c>
      <c r="D103" s="121">
        <v>0</v>
      </c>
    </row>
    <row r="104" spans="1:4">
      <c r="C104" t="s">
        <v>100</v>
      </c>
      <c r="D104" s="121">
        <v>0</v>
      </c>
    </row>
    <row r="105" spans="1:4">
      <c r="C105" t="s">
        <v>101</v>
      </c>
      <c r="D105" s="121">
        <v>0</v>
      </c>
    </row>
    <row r="106" spans="1:4">
      <c r="C106" t="s">
        <v>102</v>
      </c>
      <c r="D106" s="121">
        <v>0</v>
      </c>
    </row>
    <row r="107" spans="1:4">
      <c r="B107" t="s">
        <v>14</v>
      </c>
      <c r="D107" s="121">
        <v>0</v>
      </c>
    </row>
    <row r="108" spans="1:4">
      <c r="A108" t="s">
        <v>103</v>
      </c>
      <c r="D108" s="121">
        <v>0</v>
      </c>
    </row>
    <row r="109" spans="1:4">
      <c r="A109">
        <v>6264</v>
      </c>
      <c r="B109" t="s">
        <v>7</v>
      </c>
      <c r="C109" t="s">
        <v>104</v>
      </c>
      <c r="D109" s="121">
        <v>0</v>
      </c>
    </row>
    <row r="110" spans="1:4">
      <c r="C110" t="s">
        <v>105</v>
      </c>
      <c r="D110" s="121">
        <v>0</v>
      </c>
    </row>
    <row r="111" spans="1:4">
      <c r="B111" t="s">
        <v>14</v>
      </c>
      <c r="D111" s="121">
        <v>0</v>
      </c>
    </row>
    <row r="112" spans="1:4">
      <c r="A112" t="s">
        <v>106</v>
      </c>
      <c r="D112" s="121">
        <v>0</v>
      </c>
    </row>
    <row r="113" spans="1:4">
      <c r="A113">
        <v>6280</v>
      </c>
      <c r="B113" t="s">
        <v>7</v>
      </c>
      <c r="C113" t="s">
        <v>107</v>
      </c>
      <c r="D113" s="121">
        <v>0</v>
      </c>
    </row>
    <row r="114" spans="1:4">
      <c r="B114" t="s">
        <v>14</v>
      </c>
      <c r="D114" s="121">
        <v>0</v>
      </c>
    </row>
    <row r="115" spans="1:4">
      <c r="A115" t="s">
        <v>108</v>
      </c>
      <c r="D115" s="121">
        <v>0</v>
      </c>
    </row>
    <row r="116" spans="1:4">
      <c r="A116">
        <v>6286</v>
      </c>
      <c r="B116" t="s">
        <v>7</v>
      </c>
      <c r="C116" t="s">
        <v>109</v>
      </c>
      <c r="D116" s="121">
        <v>0</v>
      </c>
    </row>
    <row r="117" spans="1:4">
      <c r="C117" t="s">
        <v>110</v>
      </c>
      <c r="D117" s="121">
        <v>0</v>
      </c>
    </row>
    <row r="118" spans="1:4">
      <c r="C118" t="s">
        <v>111</v>
      </c>
      <c r="D118" s="121">
        <v>0</v>
      </c>
    </row>
    <row r="119" spans="1:4">
      <c r="C119" t="s">
        <v>112</v>
      </c>
      <c r="D119" s="121">
        <v>0</v>
      </c>
    </row>
    <row r="120" spans="1:4">
      <c r="C120" t="s">
        <v>113</v>
      </c>
      <c r="D120" s="121">
        <v>0</v>
      </c>
    </row>
    <row r="121" spans="1:4">
      <c r="C121" t="s">
        <v>114</v>
      </c>
      <c r="D121" s="121">
        <v>0</v>
      </c>
    </row>
    <row r="122" spans="1:4">
      <c r="C122" t="s">
        <v>115</v>
      </c>
      <c r="D122" s="121">
        <v>0</v>
      </c>
    </row>
    <row r="123" spans="1:4">
      <c r="C123" t="s">
        <v>116</v>
      </c>
      <c r="D123" s="121">
        <v>0</v>
      </c>
    </row>
    <row r="124" spans="1:4">
      <c r="C124" t="s">
        <v>117</v>
      </c>
      <c r="D124" s="121">
        <v>0</v>
      </c>
    </row>
    <row r="125" spans="1:4">
      <c r="C125" t="s">
        <v>118</v>
      </c>
      <c r="D125" s="121">
        <v>0</v>
      </c>
    </row>
    <row r="126" spans="1:4">
      <c r="B126" t="s">
        <v>14</v>
      </c>
      <c r="D126" s="121">
        <v>0</v>
      </c>
    </row>
    <row r="127" spans="1:4">
      <c r="B127" t="s">
        <v>25</v>
      </c>
      <c r="C127" t="s">
        <v>119</v>
      </c>
      <c r="D127" s="121">
        <v>0</v>
      </c>
    </row>
    <row r="128" spans="1:4">
      <c r="C128" t="s">
        <v>120</v>
      </c>
      <c r="D128" s="121">
        <v>0</v>
      </c>
    </row>
    <row r="129" spans="1:4">
      <c r="C129" t="s">
        <v>121</v>
      </c>
      <c r="D129" s="121">
        <v>0</v>
      </c>
    </row>
    <row r="130" spans="1:4">
      <c r="C130" t="s">
        <v>122</v>
      </c>
      <c r="D130" s="121">
        <v>0</v>
      </c>
    </row>
    <row r="131" spans="1:4">
      <c r="C131" t="s">
        <v>123</v>
      </c>
      <c r="D131" s="121">
        <v>0</v>
      </c>
    </row>
    <row r="132" spans="1:4">
      <c r="C132" t="s">
        <v>124</v>
      </c>
      <c r="D132" s="121">
        <v>0</v>
      </c>
    </row>
    <row r="133" spans="1:4">
      <c r="C133" t="s">
        <v>125</v>
      </c>
      <c r="D133" s="121">
        <v>0</v>
      </c>
    </row>
    <row r="134" spans="1:4">
      <c r="C134" t="s">
        <v>126</v>
      </c>
      <c r="D134" s="121">
        <v>0</v>
      </c>
    </row>
    <row r="135" spans="1:4">
      <c r="C135" t="s">
        <v>127</v>
      </c>
      <c r="D135" s="121">
        <v>0</v>
      </c>
    </row>
    <row r="136" spans="1:4">
      <c r="C136" t="s">
        <v>128</v>
      </c>
      <c r="D136" s="121">
        <v>0</v>
      </c>
    </row>
    <row r="137" spans="1:4">
      <c r="C137" t="s">
        <v>129</v>
      </c>
      <c r="D137" s="121">
        <v>0</v>
      </c>
    </row>
    <row r="138" spans="1:4">
      <c r="C138" t="s">
        <v>130</v>
      </c>
      <c r="D138" s="121">
        <v>0</v>
      </c>
    </row>
    <row r="139" spans="1:4">
      <c r="C139" t="s">
        <v>131</v>
      </c>
      <c r="D139" s="121">
        <v>0</v>
      </c>
    </row>
    <row r="140" spans="1:4">
      <c r="C140" t="s">
        <v>132</v>
      </c>
      <c r="D140" s="121">
        <v>0</v>
      </c>
    </row>
    <row r="141" spans="1:4">
      <c r="C141" t="s">
        <v>133</v>
      </c>
      <c r="D141" s="121">
        <v>0</v>
      </c>
    </row>
    <row r="142" spans="1:4">
      <c r="B142" t="s">
        <v>41</v>
      </c>
      <c r="D142" s="121">
        <v>0</v>
      </c>
    </row>
    <row r="143" spans="1:4">
      <c r="A143" t="s">
        <v>134</v>
      </c>
      <c r="D143" s="121">
        <v>0</v>
      </c>
    </row>
    <row r="144" spans="1:4">
      <c r="A144">
        <v>6292</v>
      </c>
      <c r="B144" t="s">
        <v>7</v>
      </c>
      <c r="C144" t="s">
        <v>135</v>
      </c>
      <c r="D144" s="121">
        <v>0</v>
      </c>
    </row>
    <row r="145" spans="1:4">
      <c r="C145" t="s">
        <v>136</v>
      </c>
      <c r="D145" s="121">
        <v>0</v>
      </c>
    </row>
    <row r="146" spans="1:4">
      <c r="C146" t="s">
        <v>137</v>
      </c>
      <c r="D146" s="121">
        <v>0</v>
      </c>
    </row>
    <row r="147" spans="1:4">
      <c r="C147" t="s">
        <v>138</v>
      </c>
      <c r="D147" s="121">
        <v>0</v>
      </c>
    </row>
    <row r="148" spans="1:4">
      <c r="C148" t="s">
        <v>139</v>
      </c>
      <c r="D148" s="121">
        <v>0</v>
      </c>
    </row>
    <row r="149" spans="1:4">
      <c r="B149" t="s">
        <v>14</v>
      </c>
      <c r="D149" s="121">
        <v>0</v>
      </c>
    </row>
    <row r="150" spans="1:4">
      <c r="A150" t="s">
        <v>140</v>
      </c>
      <c r="D150" s="121">
        <v>0</v>
      </c>
    </row>
    <row r="151" spans="1:4">
      <c r="A151" t="s">
        <v>141</v>
      </c>
      <c r="B151" t="s">
        <v>4</v>
      </c>
      <c r="C151" t="s">
        <v>142</v>
      </c>
      <c r="D151" s="121">
        <v>0</v>
      </c>
    </row>
    <row r="152" spans="1:4">
      <c r="B152" t="s">
        <v>6</v>
      </c>
      <c r="D152" s="121">
        <v>0</v>
      </c>
    </row>
    <row r="153" spans="1:4">
      <c r="B153" t="s">
        <v>143</v>
      </c>
      <c r="C153" t="s">
        <v>144</v>
      </c>
      <c r="D153" s="121">
        <v>0</v>
      </c>
    </row>
    <row r="154" spans="1:4">
      <c r="B154" t="s">
        <v>145</v>
      </c>
      <c r="D154" s="121">
        <v>0</v>
      </c>
    </row>
    <row r="155" spans="1:4">
      <c r="A155" t="s">
        <v>146</v>
      </c>
      <c r="D155" s="121">
        <v>0</v>
      </c>
    </row>
    <row r="156" spans="1:4">
      <c r="A156" t="s">
        <v>147</v>
      </c>
      <c r="B156" t="s">
        <v>7</v>
      </c>
      <c r="C156" t="s">
        <v>148</v>
      </c>
      <c r="D156" s="121">
        <v>0</v>
      </c>
    </row>
    <row r="157" spans="1:4">
      <c r="C157" t="s">
        <v>149</v>
      </c>
      <c r="D157" s="121">
        <v>0</v>
      </c>
    </row>
    <row r="158" spans="1:4">
      <c r="B158" t="s">
        <v>14</v>
      </c>
      <c r="D158" s="121">
        <v>0</v>
      </c>
    </row>
    <row r="159" spans="1:4">
      <c r="B159" t="s">
        <v>150</v>
      </c>
      <c r="C159" t="s">
        <v>151</v>
      </c>
      <c r="D159" s="121">
        <v>0</v>
      </c>
    </row>
    <row r="160" spans="1:4">
      <c r="C160" t="s">
        <v>152</v>
      </c>
      <c r="D160" s="121">
        <v>0</v>
      </c>
    </row>
    <row r="161" spans="3:4">
      <c r="C161" t="s">
        <v>153</v>
      </c>
      <c r="D161" s="121">
        <v>0</v>
      </c>
    </row>
    <row r="162" spans="3:4">
      <c r="C162" t="s">
        <v>154</v>
      </c>
      <c r="D162" s="121">
        <v>0</v>
      </c>
    </row>
    <row r="163" spans="3:4">
      <c r="C163" t="s">
        <v>155</v>
      </c>
      <c r="D163" s="121">
        <v>0</v>
      </c>
    </row>
    <row r="164" spans="3:4">
      <c r="C164" t="s">
        <v>156</v>
      </c>
      <c r="D164" s="121">
        <v>0</v>
      </c>
    </row>
    <row r="165" spans="3:4">
      <c r="C165" t="s">
        <v>157</v>
      </c>
      <c r="D165" s="121">
        <v>0</v>
      </c>
    </row>
    <row r="166" spans="3:4">
      <c r="C166" t="s">
        <v>158</v>
      </c>
      <c r="D166" s="121">
        <v>0</v>
      </c>
    </row>
    <row r="167" spans="3:4">
      <c r="C167" t="s">
        <v>159</v>
      </c>
      <c r="D167" s="121">
        <v>0</v>
      </c>
    </row>
    <row r="168" spans="3:4">
      <c r="C168" t="s">
        <v>160</v>
      </c>
      <c r="D168" s="121">
        <v>0</v>
      </c>
    </row>
    <row r="169" spans="3:4">
      <c r="C169" t="s">
        <v>161</v>
      </c>
      <c r="D169" s="121">
        <v>0</v>
      </c>
    </row>
    <row r="170" spans="3:4">
      <c r="C170" t="s">
        <v>162</v>
      </c>
      <c r="D170" s="121">
        <v>0</v>
      </c>
    </row>
    <row r="171" spans="3:4">
      <c r="C171" t="s">
        <v>163</v>
      </c>
      <c r="D171" s="121">
        <v>0</v>
      </c>
    </row>
    <row r="172" spans="3:4">
      <c r="C172" t="s">
        <v>164</v>
      </c>
      <c r="D172" s="121">
        <v>0</v>
      </c>
    </row>
    <row r="173" spans="3:4">
      <c r="C173" t="s">
        <v>165</v>
      </c>
      <c r="D173" s="121">
        <v>0</v>
      </c>
    </row>
    <row r="174" spans="3:4">
      <c r="C174" t="s">
        <v>166</v>
      </c>
      <c r="D174" s="121">
        <v>0</v>
      </c>
    </row>
    <row r="175" spans="3:4">
      <c r="C175" t="s">
        <v>167</v>
      </c>
      <c r="D175" s="121">
        <v>0</v>
      </c>
    </row>
    <row r="176" spans="3:4">
      <c r="C176" t="s">
        <v>168</v>
      </c>
      <c r="D176" s="121">
        <v>0</v>
      </c>
    </row>
    <row r="177" spans="3:4">
      <c r="C177" t="s">
        <v>169</v>
      </c>
      <c r="D177" s="121">
        <v>0</v>
      </c>
    </row>
    <row r="178" spans="3:4">
      <c r="C178" t="s">
        <v>170</v>
      </c>
      <c r="D178" s="121">
        <v>0</v>
      </c>
    </row>
    <row r="179" spans="3:4">
      <c r="C179" t="s">
        <v>171</v>
      </c>
      <c r="D179" s="121">
        <v>0</v>
      </c>
    </row>
    <row r="180" spans="3:4">
      <c r="C180" t="s">
        <v>172</v>
      </c>
      <c r="D180" s="121">
        <v>0</v>
      </c>
    </row>
    <row r="181" spans="3:4">
      <c r="C181" t="s">
        <v>173</v>
      </c>
      <c r="D181" s="121">
        <v>0</v>
      </c>
    </row>
    <row r="182" spans="3:4">
      <c r="C182" t="s">
        <v>174</v>
      </c>
      <c r="D182" s="121">
        <v>0</v>
      </c>
    </row>
    <row r="183" spans="3:4">
      <c r="C183" t="s">
        <v>175</v>
      </c>
      <c r="D183" s="121">
        <v>0</v>
      </c>
    </row>
    <row r="184" spans="3:4">
      <c r="C184" t="s">
        <v>176</v>
      </c>
      <c r="D184" s="121">
        <v>0</v>
      </c>
    </row>
    <row r="185" spans="3:4">
      <c r="C185" t="s">
        <v>177</v>
      </c>
      <c r="D185" s="121">
        <v>0</v>
      </c>
    </row>
    <row r="186" spans="3:4">
      <c r="C186" t="s">
        <v>178</v>
      </c>
      <c r="D186" s="121">
        <v>0</v>
      </c>
    </row>
    <row r="187" spans="3:4">
      <c r="C187" t="s">
        <v>179</v>
      </c>
      <c r="D187" s="121">
        <v>0</v>
      </c>
    </row>
    <row r="188" spans="3:4">
      <c r="C188" t="s">
        <v>180</v>
      </c>
      <c r="D188" s="121">
        <v>0</v>
      </c>
    </row>
    <row r="189" spans="3:4">
      <c r="C189" t="s">
        <v>181</v>
      </c>
      <c r="D189" s="121">
        <v>0</v>
      </c>
    </row>
    <row r="190" spans="3:4">
      <c r="C190" t="s">
        <v>182</v>
      </c>
      <c r="D190" s="121">
        <v>0</v>
      </c>
    </row>
    <row r="191" spans="3:4">
      <c r="C191" t="s">
        <v>183</v>
      </c>
      <c r="D191" s="121">
        <v>0</v>
      </c>
    </row>
    <row r="192" spans="3:4">
      <c r="C192" t="s">
        <v>184</v>
      </c>
      <c r="D192" s="121">
        <v>0</v>
      </c>
    </row>
    <row r="193" spans="3:4">
      <c r="C193" t="s">
        <v>185</v>
      </c>
      <c r="D193" s="121">
        <v>0</v>
      </c>
    </row>
    <row r="194" spans="3:4">
      <c r="C194" t="s">
        <v>186</v>
      </c>
      <c r="D194" s="121">
        <v>0</v>
      </c>
    </row>
    <row r="195" spans="3:4">
      <c r="C195" t="s">
        <v>187</v>
      </c>
      <c r="D195" s="121">
        <v>0</v>
      </c>
    </row>
    <row r="196" spans="3:4">
      <c r="C196" t="s">
        <v>188</v>
      </c>
      <c r="D196" s="121">
        <v>0</v>
      </c>
    </row>
    <row r="197" spans="3:4">
      <c r="C197" t="s">
        <v>189</v>
      </c>
      <c r="D197" s="121">
        <v>0</v>
      </c>
    </row>
    <row r="198" spans="3:4">
      <c r="C198" t="s">
        <v>190</v>
      </c>
      <c r="D198" s="121">
        <v>0</v>
      </c>
    </row>
    <row r="199" spans="3:4">
      <c r="C199" t="s">
        <v>191</v>
      </c>
      <c r="D199" s="121">
        <v>0</v>
      </c>
    </row>
    <row r="200" spans="3:4">
      <c r="C200" t="s">
        <v>192</v>
      </c>
      <c r="D200" s="121">
        <v>0</v>
      </c>
    </row>
    <row r="201" spans="3:4">
      <c r="C201" t="s">
        <v>193</v>
      </c>
      <c r="D201" s="121">
        <v>0</v>
      </c>
    </row>
    <row r="202" spans="3:4">
      <c r="C202" t="s">
        <v>194</v>
      </c>
      <c r="D202" s="121">
        <v>0</v>
      </c>
    </row>
    <row r="203" spans="3:4">
      <c r="C203" t="s">
        <v>195</v>
      </c>
      <c r="D203" s="121">
        <v>0</v>
      </c>
    </row>
    <row r="204" spans="3:4">
      <c r="C204" t="s">
        <v>196</v>
      </c>
      <c r="D204" s="121">
        <v>0</v>
      </c>
    </row>
    <row r="205" spans="3:4">
      <c r="C205" t="s">
        <v>197</v>
      </c>
      <c r="D205" s="121">
        <v>0</v>
      </c>
    </row>
    <row r="206" spans="3:4">
      <c r="C206" t="s">
        <v>198</v>
      </c>
      <c r="D206" s="121">
        <v>0</v>
      </c>
    </row>
    <row r="207" spans="3:4">
      <c r="C207" t="s">
        <v>199</v>
      </c>
      <c r="D207" s="121">
        <v>0</v>
      </c>
    </row>
    <row r="208" spans="3:4">
      <c r="C208" t="s">
        <v>200</v>
      </c>
      <c r="D208" s="121">
        <v>0</v>
      </c>
    </row>
    <row r="209" spans="3:4">
      <c r="C209" t="s">
        <v>201</v>
      </c>
      <c r="D209" s="121">
        <v>0</v>
      </c>
    </row>
    <row r="210" spans="3:4">
      <c r="C210" t="s">
        <v>202</v>
      </c>
      <c r="D210" s="121">
        <v>0</v>
      </c>
    </row>
    <row r="211" spans="3:4">
      <c r="C211" t="s">
        <v>203</v>
      </c>
      <c r="D211" s="121">
        <v>0</v>
      </c>
    </row>
    <row r="212" spans="3:4">
      <c r="C212" t="s">
        <v>204</v>
      </c>
      <c r="D212" s="121">
        <v>0</v>
      </c>
    </row>
    <row r="213" spans="3:4">
      <c r="C213" t="s">
        <v>205</v>
      </c>
      <c r="D213" s="121">
        <v>0</v>
      </c>
    </row>
    <row r="214" spans="3:4">
      <c r="C214" t="s">
        <v>206</v>
      </c>
      <c r="D214" s="121">
        <v>0</v>
      </c>
    </row>
    <row r="215" spans="3:4">
      <c r="C215" t="s">
        <v>207</v>
      </c>
      <c r="D215" s="121">
        <v>0</v>
      </c>
    </row>
    <row r="216" spans="3:4">
      <c r="C216" t="s">
        <v>208</v>
      </c>
      <c r="D216" s="121">
        <v>0</v>
      </c>
    </row>
    <row r="217" spans="3:4">
      <c r="C217" t="s">
        <v>209</v>
      </c>
      <c r="D217" s="121">
        <v>0</v>
      </c>
    </row>
    <row r="218" spans="3:4">
      <c r="C218" t="s">
        <v>210</v>
      </c>
      <c r="D218" s="121">
        <v>0</v>
      </c>
    </row>
    <row r="219" spans="3:4">
      <c r="C219" t="s">
        <v>211</v>
      </c>
      <c r="D219" s="121">
        <v>0</v>
      </c>
    </row>
    <row r="220" spans="3:4">
      <c r="C220" t="s">
        <v>212</v>
      </c>
      <c r="D220" s="121">
        <v>0</v>
      </c>
    </row>
    <row r="221" spans="3:4">
      <c r="C221" t="s">
        <v>213</v>
      </c>
      <c r="D221" s="121">
        <v>0</v>
      </c>
    </row>
    <row r="222" spans="3:4">
      <c r="C222" t="s">
        <v>214</v>
      </c>
      <c r="D222" s="121">
        <v>0</v>
      </c>
    </row>
    <row r="223" spans="3:4">
      <c r="C223" t="s">
        <v>215</v>
      </c>
      <c r="D223" s="121">
        <v>0</v>
      </c>
    </row>
    <row r="224" spans="3:4">
      <c r="C224" t="s">
        <v>216</v>
      </c>
      <c r="D224" s="121">
        <v>0</v>
      </c>
    </row>
    <row r="225" spans="3:4">
      <c r="C225" t="s">
        <v>217</v>
      </c>
      <c r="D225" s="121">
        <v>0</v>
      </c>
    </row>
    <row r="226" spans="3:4">
      <c r="C226" t="s">
        <v>218</v>
      </c>
      <c r="D226" s="121">
        <v>0</v>
      </c>
    </row>
    <row r="227" spans="3:4">
      <c r="C227" t="s">
        <v>219</v>
      </c>
      <c r="D227" s="121">
        <v>0</v>
      </c>
    </row>
    <row r="228" spans="3:4">
      <c r="C228" t="s">
        <v>220</v>
      </c>
      <c r="D228" s="121">
        <v>0</v>
      </c>
    </row>
    <row r="229" spans="3:4">
      <c r="C229" t="s">
        <v>221</v>
      </c>
      <c r="D229" s="121">
        <v>0</v>
      </c>
    </row>
    <row r="230" spans="3:4">
      <c r="C230" t="s">
        <v>222</v>
      </c>
      <c r="D230" s="121">
        <v>0</v>
      </c>
    </row>
    <row r="231" spans="3:4">
      <c r="C231" t="s">
        <v>223</v>
      </c>
      <c r="D231" s="121">
        <v>0</v>
      </c>
    </row>
    <row r="232" spans="3:4">
      <c r="C232" t="s">
        <v>224</v>
      </c>
      <c r="D232" s="121">
        <v>0</v>
      </c>
    </row>
    <row r="233" spans="3:4">
      <c r="C233" t="s">
        <v>225</v>
      </c>
      <c r="D233" s="121">
        <v>0</v>
      </c>
    </row>
    <row r="234" spans="3:4">
      <c r="C234" t="s">
        <v>226</v>
      </c>
      <c r="D234" s="121">
        <v>0</v>
      </c>
    </row>
    <row r="235" spans="3:4">
      <c r="C235" t="s">
        <v>227</v>
      </c>
      <c r="D235" s="121">
        <v>0</v>
      </c>
    </row>
    <row r="236" spans="3:4">
      <c r="C236" t="s">
        <v>228</v>
      </c>
      <c r="D236" s="121">
        <v>0</v>
      </c>
    </row>
    <row r="237" spans="3:4">
      <c r="C237" t="s">
        <v>229</v>
      </c>
      <c r="D237" s="121">
        <v>0</v>
      </c>
    </row>
    <row r="238" spans="3:4">
      <c r="C238" t="s">
        <v>230</v>
      </c>
      <c r="D238" s="121">
        <v>0</v>
      </c>
    </row>
    <row r="239" spans="3:4">
      <c r="C239" t="s">
        <v>231</v>
      </c>
      <c r="D239" s="121">
        <v>0</v>
      </c>
    </row>
    <row r="240" spans="3:4">
      <c r="C240" t="s">
        <v>232</v>
      </c>
      <c r="D240" s="121">
        <v>0</v>
      </c>
    </row>
    <row r="241" spans="3:4">
      <c r="C241" t="s">
        <v>233</v>
      </c>
      <c r="D241" s="121">
        <v>0</v>
      </c>
    </row>
    <row r="242" spans="3:4">
      <c r="C242" t="s">
        <v>234</v>
      </c>
      <c r="D242" s="121">
        <v>0</v>
      </c>
    </row>
    <row r="243" spans="3:4">
      <c r="C243" t="s">
        <v>235</v>
      </c>
      <c r="D243" s="121">
        <v>0</v>
      </c>
    </row>
    <row r="244" spans="3:4">
      <c r="C244" t="s">
        <v>236</v>
      </c>
      <c r="D244" s="121">
        <v>0</v>
      </c>
    </row>
    <row r="245" spans="3:4">
      <c r="C245" t="s">
        <v>237</v>
      </c>
      <c r="D245" s="121">
        <v>0</v>
      </c>
    </row>
    <row r="246" spans="3:4">
      <c r="C246" t="s">
        <v>238</v>
      </c>
      <c r="D246" s="121">
        <v>0</v>
      </c>
    </row>
    <row r="247" spans="3:4">
      <c r="C247" t="s">
        <v>239</v>
      </c>
      <c r="D247" s="121">
        <v>0</v>
      </c>
    </row>
    <row r="248" spans="3:4">
      <c r="C248" t="s">
        <v>240</v>
      </c>
      <c r="D248" s="121">
        <v>0</v>
      </c>
    </row>
    <row r="249" spans="3:4">
      <c r="C249" t="s">
        <v>241</v>
      </c>
      <c r="D249" s="121">
        <v>0</v>
      </c>
    </row>
    <row r="250" spans="3:4">
      <c r="C250" t="s">
        <v>242</v>
      </c>
      <c r="D250" s="121">
        <v>0</v>
      </c>
    </row>
    <row r="251" spans="3:4">
      <c r="C251" t="s">
        <v>243</v>
      </c>
      <c r="D251" s="121">
        <v>0</v>
      </c>
    </row>
    <row r="252" spans="3:4">
      <c r="C252" t="s">
        <v>244</v>
      </c>
      <c r="D252" s="121">
        <v>0</v>
      </c>
    </row>
    <row r="253" spans="3:4">
      <c r="C253" t="s">
        <v>245</v>
      </c>
      <c r="D253" s="121">
        <v>0</v>
      </c>
    </row>
    <row r="254" spans="3:4">
      <c r="C254" t="s">
        <v>246</v>
      </c>
      <c r="D254" s="121">
        <v>0</v>
      </c>
    </row>
    <row r="255" spans="3:4">
      <c r="C255" t="s">
        <v>247</v>
      </c>
      <c r="D255" s="121">
        <v>0</v>
      </c>
    </row>
    <row r="256" spans="3:4">
      <c r="C256" t="s">
        <v>248</v>
      </c>
      <c r="D256" s="121">
        <v>0</v>
      </c>
    </row>
    <row r="257" spans="3:4">
      <c r="C257" t="s">
        <v>249</v>
      </c>
      <c r="D257" s="121">
        <v>0</v>
      </c>
    </row>
    <row r="258" spans="3:4">
      <c r="C258" t="s">
        <v>250</v>
      </c>
      <c r="D258" s="121">
        <v>0</v>
      </c>
    </row>
    <row r="259" spans="3:4">
      <c r="C259" t="s">
        <v>251</v>
      </c>
      <c r="D259" s="121">
        <v>0</v>
      </c>
    </row>
    <row r="260" spans="3:4">
      <c r="C260" t="s">
        <v>252</v>
      </c>
      <c r="D260" s="121">
        <v>0</v>
      </c>
    </row>
    <row r="261" spans="3:4">
      <c r="C261" t="s">
        <v>253</v>
      </c>
      <c r="D261" s="121">
        <v>0</v>
      </c>
    </row>
    <row r="262" spans="3:4">
      <c r="C262" t="s">
        <v>254</v>
      </c>
      <c r="D262" s="121">
        <v>0</v>
      </c>
    </row>
    <row r="263" spans="3:4">
      <c r="C263" t="s">
        <v>255</v>
      </c>
      <c r="D263" s="121">
        <v>0</v>
      </c>
    </row>
    <row r="264" spans="3:4">
      <c r="C264" t="s">
        <v>256</v>
      </c>
      <c r="D264" s="121">
        <v>0</v>
      </c>
    </row>
    <row r="265" spans="3:4">
      <c r="C265" t="s">
        <v>257</v>
      </c>
      <c r="D265" s="121">
        <v>0</v>
      </c>
    </row>
    <row r="266" spans="3:4">
      <c r="C266" t="s">
        <v>258</v>
      </c>
      <c r="D266" s="121">
        <v>0</v>
      </c>
    </row>
    <row r="267" spans="3:4">
      <c r="C267" t="s">
        <v>259</v>
      </c>
      <c r="D267" s="121">
        <v>0</v>
      </c>
    </row>
    <row r="268" spans="3:4">
      <c r="C268" t="s">
        <v>260</v>
      </c>
      <c r="D268" s="121">
        <v>0</v>
      </c>
    </row>
    <row r="269" spans="3:4">
      <c r="C269" t="s">
        <v>261</v>
      </c>
      <c r="D269" s="121">
        <v>0</v>
      </c>
    </row>
    <row r="270" spans="3:4">
      <c r="C270" t="s">
        <v>262</v>
      </c>
      <c r="D270" s="121">
        <v>0</v>
      </c>
    </row>
    <row r="271" spans="3:4">
      <c r="C271" t="s">
        <v>263</v>
      </c>
      <c r="D271" s="121">
        <v>0</v>
      </c>
    </row>
    <row r="272" spans="3:4">
      <c r="C272" t="s">
        <v>264</v>
      </c>
      <c r="D272" s="121">
        <v>0</v>
      </c>
    </row>
    <row r="273" spans="3:4">
      <c r="C273" t="s">
        <v>265</v>
      </c>
      <c r="D273" s="121">
        <v>0</v>
      </c>
    </row>
    <row r="274" spans="3:4">
      <c r="C274" t="s">
        <v>266</v>
      </c>
      <c r="D274" s="121">
        <v>0</v>
      </c>
    </row>
    <row r="275" spans="3:4">
      <c r="C275" t="s">
        <v>267</v>
      </c>
      <c r="D275" s="121">
        <v>0</v>
      </c>
    </row>
    <row r="276" spans="3:4">
      <c r="C276" t="s">
        <v>268</v>
      </c>
      <c r="D276" s="121">
        <v>0</v>
      </c>
    </row>
    <row r="277" spans="3:4">
      <c r="C277" t="s">
        <v>269</v>
      </c>
      <c r="D277" s="121">
        <v>0</v>
      </c>
    </row>
    <row r="278" spans="3:4">
      <c r="C278" t="s">
        <v>270</v>
      </c>
      <c r="D278" s="121">
        <v>0</v>
      </c>
    </row>
    <row r="279" spans="3:4">
      <c r="C279" t="s">
        <v>271</v>
      </c>
      <c r="D279" s="121">
        <v>0</v>
      </c>
    </row>
    <row r="280" spans="3:4">
      <c r="C280" t="s">
        <v>272</v>
      </c>
      <c r="D280" s="121">
        <v>0</v>
      </c>
    </row>
    <row r="281" spans="3:4">
      <c r="C281" t="s">
        <v>273</v>
      </c>
      <c r="D281" s="121">
        <v>0</v>
      </c>
    </row>
    <row r="282" spans="3:4">
      <c r="C282" t="s">
        <v>274</v>
      </c>
      <c r="D282" s="121">
        <v>0</v>
      </c>
    </row>
    <row r="283" spans="3:4">
      <c r="C283" t="s">
        <v>275</v>
      </c>
      <c r="D283" s="121">
        <v>0</v>
      </c>
    </row>
    <row r="284" spans="3:4">
      <c r="C284" t="s">
        <v>276</v>
      </c>
      <c r="D284" s="121">
        <v>0</v>
      </c>
    </row>
    <row r="285" spans="3:4">
      <c r="C285" t="s">
        <v>277</v>
      </c>
      <c r="D285" s="121">
        <v>0</v>
      </c>
    </row>
    <row r="286" spans="3:4">
      <c r="C286" t="s">
        <v>278</v>
      </c>
      <c r="D286" s="121">
        <v>0</v>
      </c>
    </row>
    <row r="287" spans="3:4">
      <c r="C287" t="s">
        <v>279</v>
      </c>
      <c r="D287" s="121">
        <v>0</v>
      </c>
    </row>
    <row r="288" spans="3:4">
      <c r="C288" t="s">
        <v>280</v>
      </c>
      <c r="D288" s="121">
        <v>0</v>
      </c>
    </row>
    <row r="289" spans="3:4">
      <c r="C289" t="s">
        <v>281</v>
      </c>
      <c r="D289" s="121">
        <v>0</v>
      </c>
    </row>
    <row r="290" spans="3:4">
      <c r="C290" t="s">
        <v>282</v>
      </c>
      <c r="D290" s="121">
        <v>0</v>
      </c>
    </row>
    <row r="291" spans="3:4">
      <c r="C291" t="s">
        <v>283</v>
      </c>
      <c r="D291" s="121">
        <v>0</v>
      </c>
    </row>
    <row r="292" spans="3:4">
      <c r="C292" t="s">
        <v>284</v>
      </c>
      <c r="D292" s="121">
        <v>0</v>
      </c>
    </row>
    <row r="293" spans="3:4">
      <c r="C293" t="s">
        <v>285</v>
      </c>
      <c r="D293" s="121">
        <v>0</v>
      </c>
    </row>
    <row r="294" spans="3:4">
      <c r="C294" t="s">
        <v>286</v>
      </c>
      <c r="D294" s="121">
        <v>0</v>
      </c>
    </row>
    <row r="295" spans="3:4">
      <c r="C295" t="s">
        <v>287</v>
      </c>
      <c r="D295" s="121">
        <v>0</v>
      </c>
    </row>
    <row r="296" spans="3:4">
      <c r="C296" t="s">
        <v>288</v>
      </c>
      <c r="D296" s="121">
        <v>0</v>
      </c>
    </row>
    <row r="297" spans="3:4">
      <c r="C297" t="s">
        <v>289</v>
      </c>
      <c r="D297" s="121">
        <v>0</v>
      </c>
    </row>
    <row r="298" spans="3:4">
      <c r="C298" t="s">
        <v>290</v>
      </c>
      <c r="D298" s="121">
        <v>0</v>
      </c>
    </row>
    <row r="299" spans="3:4">
      <c r="C299" t="s">
        <v>291</v>
      </c>
      <c r="D299" s="121">
        <v>0</v>
      </c>
    </row>
    <row r="300" spans="3:4">
      <c r="C300" t="s">
        <v>292</v>
      </c>
      <c r="D300" s="121">
        <v>0</v>
      </c>
    </row>
    <row r="301" spans="3:4">
      <c r="C301" t="s">
        <v>293</v>
      </c>
      <c r="D301" s="121">
        <v>0</v>
      </c>
    </row>
    <row r="302" spans="3:4">
      <c r="C302" t="s">
        <v>294</v>
      </c>
      <c r="D302" s="121">
        <v>0</v>
      </c>
    </row>
    <row r="303" spans="3:4">
      <c r="C303" t="s">
        <v>295</v>
      </c>
      <c r="D303" s="121">
        <v>0</v>
      </c>
    </row>
    <row r="304" spans="3:4">
      <c r="C304" t="s">
        <v>296</v>
      </c>
      <c r="D304" s="121">
        <v>0</v>
      </c>
    </row>
    <row r="305" spans="3:4">
      <c r="C305" t="s">
        <v>297</v>
      </c>
      <c r="D305" s="121">
        <v>0</v>
      </c>
    </row>
    <row r="306" spans="3:4">
      <c r="C306" t="s">
        <v>298</v>
      </c>
      <c r="D306" s="121">
        <v>0</v>
      </c>
    </row>
    <row r="307" spans="3:4">
      <c r="C307" t="s">
        <v>299</v>
      </c>
      <c r="D307" s="121">
        <v>0</v>
      </c>
    </row>
    <row r="308" spans="3:4">
      <c r="C308" t="s">
        <v>300</v>
      </c>
      <c r="D308" s="121">
        <v>0</v>
      </c>
    </row>
    <row r="309" spans="3:4">
      <c r="C309" t="s">
        <v>301</v>
      </c>
      <c r="D309" s="121">
        <v>0</v>
      </c>
    </row>
    <row r="310" spans="3:4">
      <c r="C310" t="s">
        <v>302</v>
      </c>
      <c r="D310" s="121">
        <v>0</v>
      </c>
    </row>
    <row r="311" spans="3:4">
      <c r="C311" t="s">
        <v>303</v>
      </c>
      <c r="D311" s="121">
        <v>0</v>
      </c>
    </row>
    <row r="312" spans="3:4">
      <c r="C312" t="s">
        <v>304</v>
      </c>
      <c r="D312" s="121">
        <v>0</v>
      </c>
    </row>
    <row r="313" spans="3:4">
      <c r="C313" t="s">
        <v>305</v>
      </c>
      <c r="D313" s="121">
        <v>0</v>
      </c>
    </row>
    <row r="314" spans="3:4">
      <c r="C314" t="s">
        <v>306</v>
      </c>
      <c r="D314" s="121">
        <v>0</v>
      </c>
    </row>
    <row r="315" spans="3:4">
      <c r="C315" t="s">
        <v>307</v>
      </c>
      <c r="D315" s="121">
        <v>0</v>
      </c>
    </row>
    <row r="316" spans="3:4">
      <c r="C316" t="s">
        <v>308</v>
      </c>
      <c r="D316" s="121">
        <v>0</v>
      </c>
    </row>
    <row r="317" spans="3:4">
      <c r="C317" t="s">
        <v>309</v>
      </c>
      <c r="D317" s="121">
        <v>0</v>
      </c>
    </row>
    <row r="318" spans="3:4">
      <c r="C318" t="s">
        <v>310</v>
      </c>
      <c r="D318" s="121">
        <v>0</v>
      </c>
    </row>
    <row r="319" spans="3:4">
      <c r="C319" t="s">
        <v>311</v>
      </c>
      <c r="D319" s="121">
        <v>0</v>
      </c>
    </row>
    <row r="320" spans="3:4">
      <c r="C320" t="s">
        <v>312</v>
      </c>
      <c r="D320" s="121">
        <v>0</v>
      </c>
    </row>
    <row r="321" spans="1:4">
      <c r="C321" t="s">
        <v>313</v>
      </c>
      <c r="D321" s="121">
        <v>0</v>
      </c>
    </row>
    <row r="322" spans="1:4">
      <c r="B322" t="s">
        <v>314</v>
      </c>
      <c r="D322" s="121">
        <v>0</v>
      </c>
    </row>
    <row r="323" spans="1:4">
      <c r="A323" t="s">
        <v>315</v>
      </c>
      <c r="D323" s="121">
        <v>0</v>
      </c>
    </row>
    <row r="324" spans="1:4">
      <c r="A324" t="s">
        <v>316</v>
      </c>
      <c r="D324" s="121">
        <v>9.3324000000000016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E5C8-854A-4333-8F8E-D729D2462CD6}">
  <sheetPr codeName="Sheet2"/>
  <dimension ref="A1:V1203"/>
  <sheetViews>
    <sheetView showGridLines="0" tabSelected="1" topLeftCell="G1" zoomScale="85" zoomScaleNormal="85" workbookViewId="0">
      <selection activeCell="N1213" sqref="N1213"/>
    </sheetView>
  </sheetViews>
  <sheetFormatPr defaultColWidth="13" defaultRowHeight="21" customHeight="1"/>
  <cols>
    <col min="1" max="1" width="19.140625" style="9" bestFit="1" customWidth="1"/>
    <col min="2" max="2" width="19.5703125" style="9" bestFit="1" customWidth="1"/>
    <col min="3" max="3" width="17.5703125" style="9" bestFit="1" customWidth="1"/>
    <col min="4" max="4" width="14.42578125" style="9" bestFit="1" customWidth="1"/>
    <col min="5" max="5" width="19" style="9" bestFit="1" customWidth="1"/>
    <col min="6" max="6" width="22" style="111" bestFit="1" customWidth="1"/>
    <col min="7" max="7" width="13.28515625" style="9" bestFit="1" customWidth="1"/>
    <col min="8" max="8" width="26.85546875" style="9" bestFit="1" customWidth="1"/>
    <col min="9" max="9" width="21.140625" style="9" customWidth="1"/>
    <col min="10" max="10" width="13.85546875" style="9" customWidth="1"/>
    <col min="11" max="11" width="40.85546875" style="9" customWidth="1"/>
    <col min="12" max="12" width="60.5703125" style="9" customWidth="1"/>
    <col min="13" max="13" width="37" style="9" customWidth="1"/>
    <col min="14" max="14" width="97.28515625" style="9" customWidth="1"/>
    <col min="15" max="15" width="13.7109375" style="10" customWidth="1"/>
    <col min="16" max="17" width="24.28515625" style="116" customWidth="1"/>
    <col min="18" max="18" width="16.140625" style="119" bestFit="1" customWidth="1"/>
    <col min="19" max="19" width="20" style="9" customWidth="1"/>
    <col min="20" max="20" width="25.140625" style="9" customWidth="1"/>
    <col min="21" max="21" width="17.28515625" style="9" customWidth="1"/>
    <col min="22" max="22" width="39.28515625" style="9" customWidth="1"/>
    <col min="23" max="16384" width="13" style="9"/>
  </cols>
  <sheetData>
    <row r="1" spans="1:22" ht="75" customHeight="1">
      <c r="A1" s="133" t="s">
        <v>317</v>
      </c>
      <c r="B1" s="134"/>
      <c r="C1" s="134"/>
      <c r="D1" s="134"/>
      <c r="E1" s="134"/>
      <c r="F1" s="137"/>
      <c r="G1" s="134"/>
      <c r="H1" s="134"/>
      <c r="I1" s="134"/>
      <c r="J1" s="134"/>
      <c r="K1" s="134"/>
      <c r="L1" s="134"/>
      <c r="M1" s="134"/>
      <c r="N1" s="134"/>
      <c r="O1" s="154"/>
      <c r="P1" s="134"/>
      <c r="Q1" s="134"/>
      <c r="R1" s="134"/>
      <c r="S1" s="134"/>
      <c r="T1" s="134"/>
      <c r="U1" s="134"/>
      <c r="V1" s="135"/>
    </row>
    <row r="2" spans="1:22" s="107" customFormat="1" ht="36.75" customHeight="1">
      <c r="A2" s="167" t="s">
        <v>318</v>
      </c>
      <c r="B2" s="167" t="s">
        <v>319</v>
      </c>
      <c r="C2" s="167" t="s">
        <v>0</v>
      </c>
      <c r="D2" s="167" t="s">
        <v>1</v>
      </c>
      <c r="E2" s="167" t="s">
        <v>320</v>
      </c>
      <c r="F2" s="168" t="s">
        <v>321</v>
      </c>
      <c r="G2" s="167" t="s">
        <v>322</v>
      </c>
      <c r="H2" s="167" t="s">
        <v>323</v>
      </c>
      <c r="I2" s="171" t="s">
        <v>324</v>
      </c>
      <c r="J2" s="167" t="s">
        <v>325</v>
      </c>
      <c r="K2" s="167" t="s">
        <v>326</v>
      </c>
      <c r="L2" s="167" t="s">
        <v>327</v>
      </c>
      <c r="M2" s="167" t="s">
        <v>328</v>
      </c>
      <c r="N2" s="167" t="s">
        <v>329</v>
      </c>
      <c r="O2" s="169" t="s">
        <v>330</v>
      </c>
      <c r="P2" s="170" t="s">
        <v>331</v>
      </c>
      <c r="Q2" s="170" t="s">
        <v>332</v>
      </c>
      <c r="R2" s="172" t="s">
        <v>333</v>
      </c>
      <c r="S2" s="167" t="s">
        <v>334</v>
      </c>
      <c r="T2" s="167" t="s">
        <v>335</v>
      </c>
      <c r="U2" s="167" t="s">
        <v>336</v>
      </c>
      <c r="V2" s="167" t="s">
        <v>337</v>
      </c>
    </row>
    <row r="3" spans="1:22" ht="21" hidden="1" customHeight="1">
      <c r="A3" s="31" t="s">
        <v>338</v>
      </c>
      <c r="B3" s="31" t="s">
        <v>339</v>
      </c>
      <c r="C3" s="31">
        <v>6280</v>
      </c>
      <c r="D3" s="31" t="s">
        <v>340</v>
      </c>
      <c r="E3" s="31" t="s">
        <v>341</v>
      </c>
      <c r="F3" s="138" t="s">
        <v>342</v>
      </c>
      <c r="G3" s="31" t="s">
        <v>343</v>
      </c>
      <c r="H3" s="31" t="str">
        <f>A3&amp;B3&amp;"-"&amp;C3&amp;"-"&amp;D3&amp;E3&amp;"-"&amp;F3</f>
        <v>6105AK137-6280-CCAL-0001</v>
      </c>
      <c r="I3" s="31" t="s">
        <v>344</v>
      </c>
      <c r="J3" s="33"/>
      <c r="K3" s="31" t="s">
        <v>345</v>
      </c>
      <c r="L3" s="185" t="s">
        <v>346</v>
      </c>
      <c r="M3" s="174" t="s">
        <v>347</v>
      </c>
      <c r="N3" s="136" t="str">
        <f>K3&amp;" - "&amp;L3&amp;" - "&amp;M3</f>
        <v>Medium Voltage (33 kV) Overhead Powerlines - Loads and structural design for intermediate tower - Calculation</v>
      </c>
      <c r="O3" s="177">
        <v>46084</v>
      </c>
      <c r="P3" s="112">
        <v>46150</v>
      </c>
      <c r="Q3" s="112"/>
      <c r="R3" s="132" t="str">
        <f>IF(I3="Approved","100%",
 IF(LEN(Q3)&gt;0,"66%",
 IF(LEN(P3)&gt;0,"33%",
 "0%")))</f>
        <v>33%</v>
      </c>
      <c r="S3" s="31"/>
      <c r="T3" s="31"/>
      <c r="U3" s="31"/>
      <c r="V3" s="31"/>
    </row>
    <row r="4" spans="1:22" ht="21" hidden="1" customHeight="1">
      <c r="A4" s="31" t="s">
        <v>338</v>
      </c>
      <c r="B4" s="31" t="s">
        <v>339</v>
      </c>
      <c r="C4" s="31">
        <v>6280</v>
      </c>
      <c r="D4" s="31" t="s">
        <v>340</v>
      </c>
      <c r="E4" s="31" t="s">
        <v>341</v>
      </c>
      <c r="F4" s="138" t="s">
        <v>348</v>
      </c>
      <c r="G4" s="31" t="s">
        <v>4</v>
      </c>
      <c r="H4" s="31" t="str">
        <f>A4&amp;B4&amp;"-"&amp;C4&amp;"-"&amp;D4&amp;E4&amp;"-"&amp;F4</f>
        <v>6105AK137-6280-CCAL-0002</v>
      </c>
      <c r="I4" s="31" t="s">
        <v>344</v>
      </c>
      <c r="J4" s="33"/>
      <c r="K4" s="31" t="s">
        <v>345</v>
      </c>
      <c r="L4" s="185" t="s">
        <v>349</v>
      </c>
      <c r="M4" s="174" t="s">
        <v>347</v>
      </c>
      <c r="N4" s="136" t="str">
        <f>K4&amp;" - "&amp;L4&amp;" - "&amp;M4</f>
        <v>Medium Voltage (33 kV) Overhead Powerlines - Foundation for intermediate tower - Calculation</v>
      </c>
      <c r="O4" s="177">
        <v>46084</v>
      </c>
      <c r="P4" s="112">
        <v>46175</v>
      </c>
      <c r="Q4" s="112"/>
      <c r="R4" s="132" t="str">
        <f>IF(I4="Approved","100%",
 IF(LEN(Q4)&gt;0,"66%",
 IF(LEN(P4)&gt;0,"33%",
 "0%")))</f>
        <v>33%</v>
      </c>
      <c r="S4" s="31"/>
      <c r="T4" s="31"/>
      <c r="U4" s="31"/>
      <c r="V4" s="31"/>
    </row>
    <row r="5" spans="1:22" ht="21" hidden="1" customHeight="1">
      <c r="A5" s="31" t="s">
        <v>338</v>
      </c>
      <c r="B5" s="31" t="s">
        <v>339</v>
      </c>
      <c r="C5" s="31">
        <v>6280</v>
      </c>
      <c r="D5" s="31" t="s">
        <v>340</v>
      </c>
      <c r="E5" s="31" t="s">
        <v>341</v>
      </c>
      <c r="F5" s="138" t="s">
        <v>350</v>
      </c>
      <c r="G5" s="183" t="s">
        <v>343</v>
      </c>
      <c r="H5" s="31" t="str">
        <f>A5&amp;B5&amp;"-"&amp;C5&amp;"-"&amp;D5&amp;E5&amp;"-"&amp;F5</f>
        <v>6105AK137-6280-CCAL-0004</v>
      </c>
      <c r="J5" s="33"/>
      <c r="K5" s="31" t="s">
        <v>345</v>
      </c>
      <c r="L5" s="164" t="s">
        <v>351</v>
      </c>
      <c r="M5" s="174" t="s">
        <v>347</v>
      </c>
      <c r="N5" s="136" t="str">
        <f>K5&amp;" - "&amp;L5&amp;" - "&amp;M5</f>
        <v>Medium Voltage (33 kV) Overhead Powerlines - Foundation for anchor tower - Calculation</v>
      </c>
      <c r="O5" s="11">
        <v>46185</v>
      </c>
      <c r="P5" s="112">
        <v>46178</v>
      </c>
      <c r="Q5" s="112"/>
      <c r="R5" s="117"/>
      <c r="S5" s="31"/>
      <c r="T5" s="31"/>
      <c r="U5" s="31"/>
      <c r="V5" s="31"/>
    </row>
    <row r="6" spans="1:22" ht="21" hidden="1" customHeight="1">
      <c r="A6" s="31" t="s">
        <v>338</v>
      </c>
      <c r="B6" s="31" t="s">
        <v>339</v>
      </c>
      <c r="C6" s="31">
        <v>6280</v>
      </c>
      <c r="D6" s="31" t="s">
        <v>340</v>
      </c>
      <c r="E6" s="31" t="s">
        <v>352</v>
      </c>
      <c r="F6" s="138" t="s">
        <v>348</v>
      </c>
      <c r="G6" s="31" t="s">
        <v>343</v>
      </c>
      <c r="H6" s="31" t="str">
        <f>A6&amp;B6&amp;"-"&amp;C6&amp;"-"&amp;D6&amp;E6&amp;"-"&amp;F6</f>
        <v>6105AK137-6280-CDTL-0002</v>
      </c>
      <c r="I6" s="31"/>
      <c r="J6" s="33"/>
      <c r="K6" s="31" t="s">
        <v>345</v>
      </c>
      <c r="L6" s="186" t="s">
        <v>353</v>
      </c>
      <c r="M6" s="31" t="s">
        <v>354</v>
      </c>
      <c r="N6" s="136" t="str">
        <f>K6&amp;" - "&amp;L6&amp;" - "&amp;M6</f>
        <v>Medium Voltage (33 kV) Overhead Powerlines - Cable structures pole - Details</v>
      </c>
      <c r="O6" s="114">
        <v>46177</v>
      </c>
      <c r="P6" s="112">
        <v>46178</v>
      </c>
      <c r="Q6" s="112"/>
      <c r="R6" s="132" t="str">
        <f>IF(I6="Approved","100%",
 IF(LEN(Q6)&gt;0,"66%",
 IF(LEN(P6)&gt;0,"33%",
 "0%")))</f>
        <v>33%</v>
      </c>
      <c r="S6" s="31"/>
      <c r="T6" s="31"/>
      <c r="U6" s="31"/>
      <c r="V6" s="31"/>
    </row>
    <row r="7" spans="1:22" ht="21" hidden="1" customHeight="1">
      <c r="A7" s="31" t="s">
        <v>338</v>
      </c>
      <c r="B7" s="31" t="s">
        <v>339</v>
      </c>
      <c r="C7" s="31">
        <v>6280</v>
      </c>
      <c r="D7" s="31" t="s">
        <v>340</v>
      </c>
      <c r="E7" s="32" t="s">
        <v>352</v>
      </c>
      <c r="F7" s="139" t="s">
        <v>355</v>
      </c>
      <c r="G7" s="31" t="s">
        <v>343</v>
      </c>
      <c r="H7" s="31" t="str">
        <f>A7&amp;B7&amp;"-"&amp;C7&amp;"-"&amp;D7&amp;E7&amp;"-"&amp;F7</f>
        <v>6105AK137-6280-CDTL-0003</v>
      </c>
      <c r="J7" s="33"/>
      <c r="K7" s="31" t="s">
        <v>345</v>
      </c>
      <c r="L7" s="186" t="s">
        <v>356</v>
      </c>
      <c r="M7" s="31" t="s">
        <v>354</v>
      </c>
      <c r="N7" s="136" t="str">
        <f>K7&amp;" - "&amp;L7&amp;" - "&amp;M7</f>
        <v>Medium Voltage (33 kV) Overhead Powerlines - Cable structures pole. Items - Details</v>
      </c>
      <c r="O7" s="114">
        <v>46177</v>
      </c>
      <c r="P7" s="113">
        <v>46178</v>
      </c>
      <c r="Q7" s="112"/>
      <c r="R7" s="132" t="str">
        <f>IF(I7="Approved","100%",
 IF(LEN(Q7)&gt;0,"66%",
 IF(LEN(P7)&gt;0,"33%",
 "0%")))</f>
        <v>33%</v>
      </c>
      <c r="S7" s="32"/>
      <c r="T7" s="32"/>
      <c r="U7" s="32"/>
      <c r="V7" s="32"/>
    </row>
    <row r="8" spans="1:22" ht="21" hidden="1" customHeight="1">
      <c r="A8" s="31" t="s">
        <v>338</v>
      </c>
      <c r="B8" s="31" t="s">
        <v>339</v>
      </c>
      <c r="C8" s="31">
        <v>6280</v>
      </c>
      <c r="D8" s="31" t="s">
        <v>340</v>
      </c>
      <c r="E8" s="33" t="s">
        <v>352</v>
      </c>
      <c r="F8" s="110" t="s">
        <v>350</v>
      </c>
      <c r="G8" s="31" t="s">
        <v>343</v>
      </c>
      <c r="H8" s="31" t="str">
        <f>A8&amp;B8&amp;"-"&amp;C8&amp;"-"&amp;D8&amp;E8&amp;"-"&amp;F8</f>
        <v>6105AK137-6280-CDTL-0004</v>
      </c>
      <c r="I8" s="32"/>
      <c r="J8" s="33"/>
      <c r="K8" s="31" t="s">
        <v>345</v>
      </c>
      <c r="L8" s="186" t="s">
        <v>357</v>
      </c>
      <c r="M8" s="31" t="s">
        <v>354</v>
      </c>
      <c r="N8" s="136" t="str">
        <f>K8&amp;" - "&amp;L8&amp;" - "&amp;M8</f>
        <v>Medium Voltage (33 kV) Overhead Powerlines - Support installation plan - Details</v>
      </c>
      <c r="O8" s="112">
        <v>46177</v>
      </c>
      <c r="P8" s="114">
        <v>46178</v>
      </c>
      <c r="Q8" s="112"/>
      <c r="R8" s="132" t="str">
        <f>IF(I8="Approved","100%",
 IF(LEN(Q8)&gt;0,"66%",
 IF(LEN(P8)&gt;0,"33%",
 "0%")))</f>
        <v>33%</v>
      </c>
      <c r="S8" s="33"/>
      <c r="T8" s="33"/>
      <c r="U8" s="33"/>
      <c r="V8" s="33"/>
    </row>
    <row r="9" spans="1:22" ht="21" hidden="1" customHeight="1">
      <c r="A9" s="31" t="s">
        <v>338</v>
      </c>
      <c r="B9" s="31" t="s">
        <v>339</v>
      </c>
      <c r="C9" s="31">
        <v>6280</v>
      </c>
      <c r="D9" s="31" t="s">
        <v>340</v>
      </c>
      <c r="E9" s="33" t="s">
        <v>352</v>
      </c>
      <c r="F9" s="110" t="s">
        <v>358</v>
      </c>
      <c r="G9" s="31" t="s">
        <v>343</v>
      </c>
      <c r="H9" s="31" t="str">
        <f>A9&amp;B9&amp;"-"&amp;C9&amp;"-"&amp;D9&amp;E9&amp;"-"&amp;F9</f>
        <v>6105AK137-6280-CDTL-0005</v>
      </c>
      <c r="I9" s="33"/>
      <c r="J9" s="33"/>
      <c r="K9" s="31" t="s">
        <v>345</v>
      </c>
      <c r="L9" s="136" t="s">
        <v>359</v>
      </c>
      <c r="M9" s="31" t="s">
        <v>354</v>
      </c>
      <c r="N9" s="136" t="str">
        <f>K9&amp;" - "&amp;L9&amp;" - "&amp;M9</f>
        <v>Medium Voltage (33 kV) Overhead Powerlines - USO-3A, USO-5A-I support - Details</v>
      </c>
      <c r="O9" s="114">
        <v>46177</v>
      </c>
      <c r="P9" s="114">
        <v>46178</v>
      </c>
      <c r="Q9" s="112"/>
      <c r="R9" s="117"/>
      <c r="S9" s="33"/>
      <c r="T9" s="33"/>
      <c r="U9" s="33"/>
      <c r="V9" s="33"/>
    </row>
    <row r="10" spans="1:22" ht="21" hidden="1" customHeight="1">
      <c r="A10" s="155" t="s">
        <v>338</v>
      </c>
      <c r="B10" s="155" t="s">
        <v>339</v>
      </c>
      <c r="C10" s="155">
        <v>6280</v>
      </c>
      <c r="D10" s="156" t="s">
        <v>340</v>
      </c>
      <c r="E10" s="155" t="s">
        <v>360</v>
      </c>
      <c r="F10" s="184" t="s">
        <v>342</v>
      </c>
      <c r="G10" s="155" t="s">
        <v>343</v>
      </c>
      <c r="H10" s="31" t="str">
        <f>A10&amp;B10&amp;"-"&amp;C10&amp;"-"&amp;D10&amp;E10&amp;"-"&amp;F10</f>
        <v>6105AK137-6280-CFND-0001</v>
      </c>
      <c r="I10" s="33"/>
      <c r="J10" s="156"/>
      <c r="K10" s="155" t="s">
        <v>345</v>
      </c>
      <c r="L10" s="157" t="s">
        <v>361</v>
      </c>
      <c r="M10" s="155" t="s">
        <v>362</v>
      </c>
      <c r="N10" s="136" t="str">
        <f>K10&amp;" - "&amp;L10&amp;" - "&amp;M10</f>
        <v>Medium Voltage (33 kV) Overhead Powerlines - List of Towers and Foundations - Foundation drawings</v>
      </c>
      <c r="O10" s="166">
        <v>46077</v>
      </c>
      <c r="P10" s="114"/>
      <c r="Q10" s="112"/>
      <c r="R10" s="132" t="str">
        <f>IF(I10="Approved","100%",
 IF(LEN(Q10)&gt;0,"66%",
 IF(LEN(P10)&gt;0,"33%",
 "0%")))</f>
        <v>0%</v>
      </c>
      <c r="S10" s="33"/>
      <c r="T10" s="33"/>
      <c r="U10" s="33"/>
      <c r="V10" s="136" t="s">
        <v>363</v>
      </c>
    </row>
    <row r="11" spans="1:22" ht="21" hidden="1" customHeight="1">
      <c r="A11" s="31" t="s">
        <v>338</v>
      </c>
      <c r="B11" s="31" t="s">
        <v>339</v>
      </c>
      <c r="C11" s="31">
        <v>6280</v>
      </c>
      <c r="D11" s="33" t="s">
        <v>340</v>
      </c>
      <c r="E11" s="31" t="s">
        <v>360</v>
      </c>
      <c r="F11" s="110" t="s">
        <v>348</v>
      </c>
      <c r="G11" s="31" t="s">
        <v>343</v>
      </c>
      <c r="H11" s="31" t="str">
        <f>A11&amp;B11&amp;"-"&amp;C11&amp;"-"&amp;D11&amp;E11&amp;"-"&amp;F11</f>
        <v>6105AK137-6280-CFND-0002</v>
      </c>
      <c r="I11" s="33"/>
      <c r="J11" s="33"/>
      <c r="K11" s="31" t="s">
        <v>345</v>
      </c>
      <c r="L11" s="136" t="s">
        <v>364</v>
      </c>
      <c r="M11" s="31" t="s">
        <v>362</v>
      </c>
      <c r="N11" s="136" t="str">
        <f>K11&amp;" - "&amp;L11&amp;" - "&amp;M11</f>
        <v>Medium Voltage (33 kV) Overhead Powerlines - Bill of tower and foundation installation details - Foundation drawings</v>
      </c>
      <c r="O11" s="114">
        <v>46077</v>
      </c>
      <c r="P11" s="114"/>
      <c r="Q11" s="112"/>
      <c r="R11" s="132" t="str">
        <f>IF(I11="Approved","100%",
 IF(LEN(Q11)&gt;0,"66%",
 IF(LEN(P11)&gt;0,"33%",
 "0%")))</f>
        <v>0%</v>
      </c>
      <c r="S11" s="33"/>
      <c r="T11" s="33"/>
      <c r="U11" s="33"/>
      <c r="V11" s="31"/>
    </row>
    <row r="12" spans="1:22" ht="21" hidden="1" customHeight="1">
      <c r="A12" s="31" t="s">
        <v>338</v>
      </c>
      <c r="B12" s="31" t="s">
        <v>339</v>
      </c>
      <c r="C12" s="31">
        <v>6280</v>
      </c>
      <c r="D12" s="33" t="s">
        <v>340</v>
      </c>
      <c r="E12" s="31" t="s">
        <v>360</v>
      </c>
      <c r="F12" s="110" t="s">
        <v>355</v>
      </c>
      <c r="G12" s="31" t="s">
        <v>343</v>
      </c>
      <c r="H12" s="31" t="str">
        <f>A12&amp;B12&amp;"-"&amp;C12&amp;"-"&amp;D12&amp;E12&amp;"-"&amp;F12</f>
        <v>6105AK137-6280-CFND-0003</v>
      </c>
      <c r="I12" s="33"/>
      <c r="J12" s="33"/>
      <c r="K12" s="31" t="s">
        <v>345</v>
      </c>
      <c r="L12" s="136" t="s">
        <v>365</v>
      </c>
      <c r="M12" s="31" t="s">
        <v>362</v>
      </c>
      <c r="N12" s="136" t="str">
        <f>K12&amp;" - "&amp;L12&amp;" - "&amp;M12</f>
        <v>Medium Voltage (33 kV) Overhead Powerlines - Technical conditions - technical requirements for tower foundations - Foundation drawings</v>
      </c>
      <c r="O12" s="114">
        <v>46072</v>
      </c>
      <c r="P12" s="114"/>
      <c r="Q12" s="112"/>
      <c r="R12" s="132" t="str">
        <f>IF(I12="Approved","100%",
 IF(LEN(Q12)&gt;0,"66%",
 IF(LEN(P12)&gt;0,"33%",
 "0%")))</f>
        <v>0%</v>
      </c>
      <c r="S12" s="33"/>
      <c r="T12" s="33"/>
      <c r="U12" s="33"/>
      <c r="V12" s="33"/>
    </row>
    <row r="13" spans="1:22" ht="21" hidden="1" customHeight="1">
      <c r="A13" s="31" t="s">
        <v>338</v>
      </c>
      <c r="B13" s="31" t="s">
        <v>339</v>
      </c>
      <c r="C13" s="31">
        <v>6280</v>
      </c>
      <c r="D13" s="33" t="s">
        <v>340</v>
      </c>
      <c r="E13" s="31" t="s">
        <v>360</v>
      </c>
      <c r="F13" s="110" t="s">
        <v>350</v>
      </c>
      <c r="G13" s="31" t="s">
        <v>343</v>
      </c>
      <c r="H13" s="31" t="str">
        <f>A13&amp;B13&amp;"-"&amp;C13&amp;"-"&amp;D13&amp;E13&amp;"-"&amp;F13</f>
        <v>6105AK137-6280-CFND-0004</v>
      </c>
      <c r="I13" s="33" t="s">
        <v>344</v>
      </c>
      <c r="J13" s="33"/>
      <c r="K13" s="31" t="s">
        <v>345</v>
      </c>
      <c r="L13" s="136" t="s">
        <v>366</v>
      </c>
      <c r="M13" s="31" t="s">
        <v>362</v>
      </c>
      <c r="N13" s="136" t="str">
        <f>K13&amp;" - "&amp;L13&amp;" - "&amp;M13</f>
        <v>Medium Voltage (33 kV) Overhead Powerlines - Anchor tower foundation installation - Foundation drawings</v>
      </c>
      <c r="O13" s="114">
        <v>46048</v>
      </c>
      <c r="P13" s="114">
        <v>46064</v>
      </c>
      <c r="Q13" s="112"/>
      <c r="R13" s="132" t="str">
        <f>IF(I13="Approved","100%",
 IF(LEN(Q13)&gt;0,"66%",
 IF(LEN(P13)&gt;0,"33%",
 "0%")))</f>
        <v>33%</v>
      </c>
      <c r="S13" s="33"/>
      <c r="T13" s="33"/>
      <c r="U13" s="33"/>
      <c r="V13" s="33"/>
    </row>
    <row r="14" spans="1:22" ht="21" hidden="1" customHeight="1">
      <c r="A14" s="31" t="s">
        <v>338</v>
      </c>
      <c r="B14" s="31" t="s">
        <v>339</v>
      </c>
      <c r="C14" s="31">
        <v>6280</v>
      </c>
      <c r="D14" s="33" t="s">
        <v>340</v>
      </c>
      <c r="E14" s="31" t="s">
        <v>360</v>
      </c>
      <c r="F14" s="110" t="s">
        <v>358</v>
      </c>
      <c r="G14" s="31" t="s">
        <v>343</v>
      </c>
      <c r="H14" s="31" t="str">
        <f>A14&amp;B14&amp;"-"&amp;C14&amp;"-"&amp;D14&amp;E14&amp;"-"&amp;F14</f>
        <v>6105AK137-6280-CFND-0005</v>
      </c>
      <c r="I14" s="33" t="s">
        <v>367</v>
      </c>
      <c r="J14" s="33"/>
      <c r="K14" s="31" t="s">
        <v>345</v>
      </c>
      <c r="L14" s="136" t="s">
        <v>368</v>
      </c>
      <c r="M14" s="31" t="s">
        <v>362</v>
      </c>
      <c r="N14" s="136" t="str">
        <f>K14&amp;" - "&amp;L14&amp;" - "&amp;M14</f>
        <v>Medium Voltage (33 kV) Overhead Powerlines - Intermediate tower foundation installation - Foundation drawings</v>
      </c>
      <c r="O14" s="114">
        <v>46048</v>
      </c>
      <c r="P14" s="114">
        <v>46064</v>
      </c>
      <c r="Q14" s="112"/>
      <c r="R14" s="132" t="str">
        <f>IF(I14="Approved","100%",
 IF(LEN(Q14)&gt;0,"66%",
 IF(LEN(P14)&gt;0,"33%",
 "0%")))</f>
        <v>33%</v>
      </c>
      <c r="S14" s="33"/>
      <c r="T14" s="33"/>
      <c r="U14" s="33"/>
      <c r="V14" s="33"/>
    </row>
    <row r="15" spans="1:22" ht="21" hidden="1" customHeight="1">
      <c r="A15" s="31" t="s">
        <v>338</v>
      </c>
      <c r="B15" s="31" t="s">
        <v>339</v>
      </c>
      <c r="C15" s="31">
        <v>6280</v>
      </c>
      <c r="D15" s="33" t="s">
        <v>340</v>
      </c>
      <c r="E15" s="31" t="s">
        <v>369</v>
      </c>
      <c r="F15" s="110" t="s">
        <v>342</v>
      </c>
      <c r="G15" s="31" t="s">
        <v>343</v>
      </c>
      <c r="H15" s="31" t="str">
        <f>A15&amp;B15&amp;"-"&amp;C15&amp;"-"&amp;D15&amp;E15&amp;"-"&amp;F15</f>
        <v>6105AK137-6280-CIDX-0001</v>
      </c>
      <c r="I15" s="33" t="s">
        <v>344</v>
      </c>
      <c r="J15" s="33"/>
      <c r="K15" s="31" t="s">
        <v>345</v>
      </c>
      <c r="L15" s="164" t="s">
        <v>370</v>
      </c>
      <c r="M15" s="31" t="s">
        <v>371</v>
      </c>
      <c r="N15" s="136" t="s">
        <v>372</v>
      </c>
      <c r="O15" s="114">
        <v>46052</v>
      </c>
      <c r="P15" s="114">
        <v>46064</v>
      </c>
      <c r="Q15" s="112"/>
      <c r="R15" s="132" t="str">
        <f>IF(I15="Approved","100%",
 IF(LEN(Q15)&gt;0,"66%",
 IF(LEN(P15)&gt;0,"33%",
 "0%")))</f>
        <v>33%</v>
      </c>
      <c r="S15" s="33"/>
      <c r="T15" s="33"/>
      <c r="U15" s="33"/>
      <c r="V15" s="33"/>
    </row>
    <row r="16" spans="1:22" ht="21" hidden="1" customHeight="1">
      <c r="A16" s="31" t="s">
        <v>338</v>
      </c>
      <c r="B16" s="31" t="s">
        <v>339</v>
      </c>
      <c r="C16" s="31">
        <v>6280</v>
      </c>
      <c r="D16" s="33" t="s">
        <v>340</v>
      </c>
      <c r="E16" s="31" t="s">
        <v>373</v>
      </c>
      <c r="F16" s="110" t="s">
        <v>342</v>
      </c>
      <c r="G16" s="31" t="s">
        <v>343</v>
      </c>
      <c r="H16" s="31" t="str">
        <f>A16&amp;B16&amp;"-"&amp;C16&amp;"-"&amp;D16&amp;E16&amp;"-"&amp;F16</f>
        <v>6105AK137-6280-CINS-0001</v>
      </c>
      <c r="I16" s="33" t="s">
        <v>344</v>
      </c>
      <c r="J16" s="33"/>
      <c r="K16" s="31" t="s">
        <v>345</v>
      </c>
      <c r="L16" s="173" t="s">
        <v>374</v>
      </c>
      <c r="M16" s="31" t="s">
        <v>375</v>
      </c>
      <c r="N16" s="136" t="str">
        <f>K16&amp;" - "&amp;L16&amp;" - "&amp;M16</f>
        <v>Medium Voltage (33 kV) Overhead Powerlines - Notes to tower/foundation list - Instructions</v>
      </c>
      <c r="O16" s="114">
        <v>46052</v>
      </c>
      <c r="P16" s="114">
        <v>46062</v>
      </c>
      <c r="Q16" s="112"/>
      <c r="R16" s="132" t="str">
        <f>IF(I16="Approved","100%",
 IF(LEN(Q16)&gt;0,"66%",
 IF(LEN(P16)&gt;0,"33%",
 "0%")))</f>
        <v>33%</v>
      </c>
      <c r="S16" s="33"/>
      <c r="T16" s="33"/>
      <c r="U16" s="33"/>
      <c r="V16" s="33"/>
    </row>
    <row r="17" spans="1:22" ht="21" hidden="1" customHeight="1">
      <c r="A17" s="31" t="s">
        <v>338</v>
      </c>
      <c r="B17" s="31" t="s">
        <v>339</v>
      </c>
      <c r="C17" s="31">
        <v>6280</v>
      </c>
      <c r="D17" s="33" t="s">
        <v>340</v>
      </c>
      <c r="E17" s="31" t="s">
        <v>373</v>
      </c>
      <c r="F17" s="110" t="s">
        <v>348</v>
      </c>
      <c r="G17" s="31" t="s">
        <v>340</v>
      </c>
      <c r="H17" s="31" t="str">
        <f>A17&amp;B17&amp;"-"&amp;C17&amp;"-"&amp;D17&amp;E17&amp;"-"&amp;F17</f>
        <v>6105AK137-6280-CINS-0002</v>
      </c>
      <c r="I17" s="33" t="s">
        <v>344</v>
      </c>
      <c r="J17" s="33"/>
      <c r="K17" s="31" t="s">
        <v>345</v>
      </c>
      <c r="L17" s="136" t="s">
        <v>376</v>
      </c>
      <c r="M17" s="31" t="s">
        <v>375</v>
      </c>
      <c r="N17" s="136" t="str">
        <f>K17&amp;" - "&amp;L17&amp;" - "&amp;M17</f>
        <v>Medium Voltage (33 kV) Overhead Powerlines - Corrosion protection  - Instructions</v>
      </c>
      <c r="O17" s="112">
        <v>46175</v>
      </c>
      <c r="P17" s="114">
        <v>46176</v>
      </c>
      <c r="Q17" s="112"/>
      <c r="R17" s="132" t="str">
        <f>IF(I17="Approved","100%",
 IF(LEN(Q17)&gt;0,"66%",
 IF(LEN(P17)&gt;0,"33%",
 "0%")))</f>
        <v>33%</v>
      </c>
      <c r="S17" s="33"/>
      <c r="T17" s="33"/>
      <c r="U17" s="33"/>
      <c r="V17" s="33"/>
    </row>
    <row r="18" spans="1:22" ht="21" hidden="1" customHeight="1">
      <c r="A18" s="31" t="s">
        <v>338</v>
      </c>
      <c r="B18" s="31" t="s">
        <v>339</v>
      </c>
      <c r="C18" s="31">
        <v>6280</v>
      </c>
      <c r="D18" s="33" t="s">
        <v>340</v>
      </c>
      <c r="E18" s="31" t="s">
        <v>377</v>
      </c>
      <c r="F18" s="110" t="s">
        <v>342</v>
      </c>
      <c r="G18" s="31" t="s">
        <v>343</v>
      </c>
      <c r="H18" s="31" t="str">
        <f>A18&amp;B18&amp;"-"&amp;C18&amp;"-"&amp;D18&amp;E18&amp;"-"&amp;F18</f>
        <v>6105AK137-6280-CSPC-0001</v>
      </c>
      <c r="I18" s="33"/>
      <c r="J18" s="33"/>
      <c r="K18" s="31" t="s">
        <v>345</v>
      </c>
      <c r="L18" s="136" t="s">
        <v>378</v>
      </c>
      <c r="M18" s="31" t="s">
        <v>379</v>
      </c>
      <c r="N18" s="136" t="str">
        <f>K18&amp;" - "&amp;L18&amp;" - "&amp;M18</f>
        <v>Medium Voltage (33 kV) Overhead Powerlines - Bill of civil works  - Specification</v>
      </c>
      <c r="O18" s="112">
        <v>46080</v>
      </c>
      <c r="P18" s="114"/>
      <c r="Q18" s="112"/>
      <c r="R18" s="132" t="str">
        <f>IF(I18="Approved","100%",
 IF(LEN(Q18)&gt;0,"66%",
 IF(LEN(P18)&gt;0,"33%",
 "0%")))</f>
        <v>0%</v>
      </c>
      <c r="S18" s="33"/>
      <c r="T18" s="33"/>
      <c r="U18" s="33"/>
      <c r="V18" s="33"/>
    </row>
    <row r="19" spans="1:22" ht="21" hidden="1" customHeight="1">
      <c r="A19" s="31" t="s">
        <v>338</v>
      </c>
      <c r="B19" s="31" t="s">
        <v>339</v>
      </c>
      <c r="C19" s="31">
        <v>6280</v>
      </c>
      <c r="D19" s="33" t="s">
        <v>340</v>
      </c>
      <c r="E19" s="31" t="s">
        <v>380</v>
      </c>
      <c r="F19" s="110" t="s">
        <v>342</v>
      </c>
      <c r="G19" s="31" t="s">
        <v>343</v>
      </c>
      <c r="H19" s="31" t="str">
        <f>A19&amp;B19&amp;"-"&amp;C19&amp;"-"&amp;D19&amp;E19&amp;"-"&amp;F19</f>
        <v>6105AK137-6280-CSSD-0001</v>
      </c>
      <c r="I19" s="33" t="s">
        <v>344</v>
      </c>
      <c r="J19" s="33"/>
      <c r="K19" s="31" t="s">
        <v>345</v>
      </c>
      <c r="L19" s="187" t="s">
        <v>381</v>
      </c>
      <c r="M19" s="31" t="s">
        <v>382</v>
      </c>
      <c r="N19" s="136" t="str">
        <f>K19&amp;" - "&amp;L19&amp;" - "&amp;M19</f>
        <v>Medium Voltage (33 kV) Overhead Powerlines - Intermediate tower specification type 1P110-6 - Structural Steel Drawings</v>
      </c>
      <c r="O19" s="114">
        <v>46070</v>
      </c>
      <c r="P19" s="114">
        <v>46128</v>
      </c>
      <c r="Q19" s="112"/>
      <c r="R19" s="132" t="str">
        <f>IF(I19="Approved","100%",
 IF(LEN(Q19)&gt;0,"66%",
 IF(LEN(P19)&gt;0,"33%",
 "0%")))</f>
        <v>33%</v>
      </c>
      <c r="S19" s="33"/>
      <c r="T19" s="33"/>
      <c r="U19" s="33"/>
      <c r="V19" s="33"/>
    </row>
    <row r="20" spans="1:22" ht="21" hidden="1" customHeight="1">
      <c r="A20" s="31" t="s">
        <v>338</v>
      </c>
      <c r="B20" s="31" t="s">
        <v>339</v>
      </c>
      <c r="C20" s="31">
        <v>6280</v>
      </c>
      <c r="D20" s="33" t="s">
        <v>340</v>
      </c>
      <c r="E20" s="31" t="s">
        <v>380</v>
      </c>
      <c r="F20" s="110" t="s">
        <v>348</v>
      </c>
      <c r="G20" s="31" t="s">
        <v>343</v>
      </c>
      <c r="H20" s="31" t="str">
        <f>A20&amp;B20&amp;"-"&amp;C20&amp;"-"&amp;D20&amp;E20&amp;"-"&amp;F20</f>
        <v>6105AK137-6280-CSSD-0002</v>
      </c>
      <c r="I20" s="33" t="s">
        <v>344</v>
      </c>
      <c r="J20" s="33"/>
      <c r="K20" s="31" t="s">
        <v>345</v>
      </c>
      <c r="L20" s="136" t="s">
        <v>383</v>
      </c>
      <c r="M20" s="31" t="s">
        <v>382</v>
      </c>
      <c r="N20" s="136" t="str">
        <f>K20&amp;" - "&amp;L20&amp;" - "&amp;M20</f>
        <v>Medium Voltage (33 kV) Overhead Powerlines - Intermediate tower specification type 1P110-6-3.2 - Structural Steel Drawings</v>
      </c>
      <c r="O20" s="112">
        <v>46070</v>
      </c>
      <c r="P20" s="114">
        <v>46128</v>
      </c>
      <c r="Q20" s="112"/>
      <c r="R20" s="132" t="str">
        <f>IF(I20="Approved","100%",
 IF(LEN(Q20)&gt;0,"66%",
 IF(LEN(P20)&gt;0,"33%",
 "0%")))</f>
        <v>33%</v>
      </c>
      <c r="S20" s="33"/>
      <c r="T20" s="33"/>
      <c r="U20" s="33"/>
      <c r="V20" s="33"/>
    </row>
    <row r="21" spans="1:22" ht="21" hidden="1" customHeight="1">
      <c r="A21" s="31" t="s">
        <v>338</v>
      </c>
      <c r="B21" s="31" t="s">
        <v>339</v>
      </c>
      <c r="C21" s="31">
        <v>6280</v>
      </c>
      <c r="D21" s="33" t="s">
        <v>340</v>
      </c>
      <c r="E21" s="31" t="s">
        <v>380</v>
      </c>
      <c r="F21" s="110" t="s">
        <v>355</v>
      </c>
      <c r="G21" s="31" t="s">
        <v>343</v>
      </c>
      <c r="H21" s="31" t="str">
        <f>A21&amp;B21&amp;"-"&amp;C21&amp;"-"&amp;D21&amp;E21&amp;"-"&amp;F21</f>
        <v>6105AK137-6280-CSSD-0003</v>
      </c>
      <c r="I21" s="33" t="s">
        <v>344</v>
      </c>
      <c r="J21" s="33"/>
      <c r="K21" s="31" t="s">
        <v>345</v>
      </c>
      <c r="L21" s="136" t="s">
        <v>384</v>
      </c>
      <c r="M21" s="31" t="s">
        <v>382</v>
      </c>
      <c r="N21" s="136" t="str">
        <f>K21&amp;" - "&amp;L21&amp;" - "&amp;M21</f>
        <v>Medium Voltage (33 kV) Overhead Powerlines - Intermediate tower specification type 1P110-6-8.5 - Structural Steel Drawings</v>
      </c>
      <c r="O21" s="112">
        <v>46076</v>
      </c>
      <c r="P21" s="114">
        <v>46128</v>
      </c>
      <c r="Q21" s="112"/>
      <c r="R21" s="132" t="str">
        <f>IF(I21="Approved","100%",
 IF(LEN(Q21)&gt;0,"66%",
 IF(LEN(P21)&gt;0,"33%",
 "0%")))</f>
        <v>33%</v>
      </c>
      <c r="S21" s="33"/>
      <c r="T21" s="33"/>
      <c r="U21" s="33"/>
      <c r="V21" s="158"/>
    </row>
    <row r="22" spans="1:22" ht="21" hidden="1" customHeight="1">
      <c r="A22" s="31" t="s">
        <v>338</v>
      </c>
      <c r="B22" s="31" t="s">
        <v>339</v>
      </c>
      <c r="C22" s="31">
        <v>6280</v>
      </c>
      <c r="D22" s="33" t="s">
        <v>340</v>
      </c>
      <c r="E22" s="33" t="s">
        <v>380</v>
      </c>
      <c r="F22" s="110" t="s">
        <v>350</v>
      </c>
      <c r="G22" s="31" t="s">
        <v>343</v>
      </c>
      <c r="H22" s="31" t="str">
        <f>A22&amp;B22&amp;"-"&amp;C22&amp;"-"&amp;D22&amp;E22&amp;"-"&amp;F22</f>
        <v>6105AK137-6280-CSSD-0004</v>
      </c>
      <c r="I22" s="33" t="s">
        <v>344</v>
      </c>
      <c r="J22" s="33"/>
      <c r="K22" s="31" t="s">
        <v>345</v>
      </c>
      <c r="L22" s="136" t="s">
        <v>385</v>
      </c>
      <c r="M22" s="31" t="s">
        <v>382</v>
      </c>
      <c r="N22" s="136" t="str">
        <f>K22&amp;" - "&amp;L22&amp;" - "&amp;M22</f>
        <v>Medium Voltage (33 kV) Overhead Powerlines - Intermediate tower specification. Details - Structural Steel Drawings</v>
      </c>
      <c r="O22" s="112">
        <v>46076</v>
      </c>
      <c r="P22" s="114">
        <v>46128</v>
      </c>
      <c r="Q22" s="112"/>
      <c r="R22" s="132" t="str">
        <f>IF(I22="Approved","100%",
 IF(LEN(Q22)&gt;0,"66%",
 IF(LEN(P22)&gt;0,"33%",
 "0%")))</f>
        <v>33%</v>
      </c>
      <c r="S22" s="33"/>
      <c r="T22" s="33"/>
      <c r="U22" s="33"/>
      <c r="V22" s="158"/>
    </row>
    <row r="23" spans="1:22" ht="21" hidden="1" customHeight="1">
      <c r="A23" s="31" t="s">
        <v>338</v>
      </c>
      <c r="B23" s="31" t="s">
        <v>339</v>
      </c>
      <c r="C23" s="31">
        <v>6280</v>
      </c>
      <c r="D23" s="33" t="s">
        <v>340</v>
      </c>
      <c r="E23" s="31" t="s">
        <v>380</v>
      </c>
      <c r="F23" s="110" t="s">
        <v>358</v>
      </c>
      <c r="G23" s="31" t="s">
        <v>343</v>
      </c>
      <c r="H23" s="31" t="str">
        <f>A23&amp;B23&amp;"-"&amp;C23&amp;"-"&amp;D23&amp;E23&amp;"-"&amp;F23</f>
        <v>6105AK137-6280-CSSD-0005</v>
      </c>
      <c r="I23" s="33"/>
      <c r="J23" s="33"/>
      <c r="K23" s="31" t="s">
        <v>345</v>
      </c>
      <c r="L23" s="136" t="s">
        <v>386</v>
      </c>
      <c r="M23" s="31" t="s">
        <v>382</v>
      </c>
      <c r="N23" s="136" t="str">
        <f>K23&amp;" - "&amp;L23&amp;" - "&amp;M23</f>
        <v>Medium Voltage (33 kV) Overhead Powerlines - Cable termination structural  - Structural Steel Drawings</v>
      </c>
      <c r="O23" s="112">
        <v>46080</v>
      </c>
      <c r="P23" s="114"/>
      <c r="Q23" s="112"/>
      <c r="R23" s="132" t="str">
        <f>IF(I23="Approved","100%",
 IF(LEN(Q23)&gt;0,"66%",
 IF(LEN(P23)&gt;0,"33%",
 "0%")))</f>
        <v>0%</v>
      </c>
      <c r="S23" s="33"/>
      <c r="T23" s="33"/>
      <c r="U23" s="33"/>
      <c r="V23" s="33"/>
    </row>
    <row r="24" spans="1:22" ht="21" hidden="1" customHeight="1">
      <c r="A24" s="31" t="s">
        <v>338</v>
      </c>
      <c r="B24" s="31" t="s">
        <v>339</v>
      </c>
      <c r="C24" s="31">
        <v>6280</v>
      </c>
      <c r="D24" s="33" t="s">
        <v>340</v>
      </c>
      <c r="E24" s="31" t="s">
        <v>380</v>
      </c>
      <c r="F24" s="110" t="s">
        <v>387</v>
      </c>
      <c r="G24" s="31" t="s">
        <v>343</v>
      </c>
      <c r="H24" s="31" t="str">
        <f>A24&amp;B24&amp;"-"&amp;C24&amp;"-"&amp;D24&amp;E24&amp;"-"&amp;F24</f>
        <v>6105AK137-6280-CSSD-0006</v>
      </c>
      <c r="I24" s="33"/>
      <c r="J24" s="33"/>
      <c r="K24" s="31" t="s">
        <v>345</v>
      </c>
      <c r="L24" s="136" t="s">
        <v>388</v>
      </c>
      <c r="M24" s="31" t="s">
        <v>382</v>
      </c>
      <c r="N24" s="136" t="str">
        <f>K24&amp;" - "&amp;L24&amp;" - "&amp;M24</f>
        <v>Medium Voltage (33 kV) Overhead Powerlines - Technical conditions - technical requirements for steel towers - Structural Steel Drawings</v>
      </c>
      <c r="O24" s="114">
        <v>46072</v>
      </c>
      <c r="P24" s="114"/>
      <c r="Q24" s="114"/>
      <c r="R24" s="132" t="str">
        <f>IF(I24="Approved","100%",
 IF(LEN(Q24)&gt;0,"66%",
 IF(LEN(P24)&gt;0,"33%",
 "0%")))</f>
        <v>0%</v>
      </c>
      <c r="S24" s="33"/>
      <c r="T24" s="33"/>
      <c r="U24" s="33"/>
      <c r="V24" s="33"/>
    </row>
    <row r="25" spans="1:22" ht="21" hidden="1" customHeight="1">
      <c r="A25" s="31" t="s">
        <v>338</v>
      </c>
      <c r="B25" s="31" t="s">
        <v>339</v>
      </c>
      <c r="C25" s="31">
        <v>6280</v>
      </c>
      <c r="D25" s="33" t="s">
        <v>340</v>
      </c>
      <c r="E25" s="33" t="s">
        <v>380</v>
      </c>
      <c r="F25" s="110" t="s">
        <v>389</v>
      </c>
      <c r="G25" s="31" t="s">
        <v>343</v>
      </c>
      <c r="H25" s="31" t="str">
        <f>A25&amp;B25&amp;"-"&amp;C25&amp;"-"&amp;D25&amp;E25&amp;"-"&amp;F25</f>
        <v>6105AK137-6280-CSSD-0007</v>
      </c>
      <c r="I25" s="33" t="s">
        <v>344</v>
      </c>
      <c r="J25" s="33"/>
      <c r="K25" s="31" t="s">
        <v>345</v>
      </c>
      <c r="L25" s="136" t="s">
        <v>390</v>
      </c>
      <c r="M25" s="31" t="s">
        <v>382</v>
      </c>
      <c r="N25" s="136" t="str">
        <f>K25&amp;" - "&amp;L25&amp;" - "&amp;M25</f>
        <v>Medium Voltage (33 kV) Overhead Powerlines - Anchor tower specification type A33-2-24 - Structural Steel Drawings</v>
      </c>
      <c r="O25" s="112">
        <v>46051</v>
      </c>
      <c r="P25" s="114">
        <v>46062</v>
      </c>
      <c r="Q25" s="114"/>
      <c r="R25" s="132" t="str">
        <f>IF(I25="Approved","100%",
 IF(LEN(Q25)&gt;0,"66%",
 IF(LEN(P25)&gt;0,"33%",
 "0%")))</f>
        <v>33%</v>
      </c>
      <c r="S25" s="33"/>
      <c r="T25" s="33"/>
      <c r="U25" s="33"/>
      <c r="V25" s="33"/>
    </row>
    <row r="26" spans="1:22" ht="21" hidden="1" customHeight="1">
      <c r="A26" s="31" t="s">
        <v>338</v>
      </c>
      <c r="B26" s="31" t="s">
        <v>339</v>
      </c>
      <c r="C26" s="31">
        <v>6280</v>
      </c>
      <c r="D26" s="33" t="s">
        <v>340</v>
      </c>
      <c r="E26" s="33" t="s">
        <v>380</v>
      </c>
      <c r="F26" s="110" t="s">
        <v>391</v>
      </c>
      <c r="G26" s="31" t="s">
        <v>343</v>
      </c>
      <c r="H26" s="31" t="str">
        <f>A26&amp;B26&amp;"-"&amp;C26&amp;"-"&amp;D26&amp;E26&amp;"-"&amp;F26</f>
        <v>6105AK137-6280-CSSD-0008</v>
      </c>
      <c r="I26" s="33" t="s">
        <v>344</v>
      </c>
      <c r="J26" s="33"/>
      <c r="K26" s="31" t="s">
        <v>345</v>
      </c>
      <c r="L26" s="179" t="s">
        <v>392</v>
      </c>
      <c r="M26" s="31" t="s">
        <v>382</v>
      </c>
      <c r="N26" s="136" t="str">
        <f>K26&amp;" - "&amp;L26&amp;" - "&amp;M26</f>
        <v>Medium Voltage (33 kV) Overhead Powerlines - Intermediate tower specificaition - Structural Steel Drawings</v>
      </c>
      <c r="O26" s="114">
        <v>46051</v>
      </c>
      <c r="P26" s="114">
        <v>46064</v>
      </c>
      <c r="Q26" s="114"/>
      <c r="R26" s="132" t="str">
        <f>IF(I26="Approved","100%",
 IF(LEN(Q26)&gt;0,"66%",
 IF(LEN(P26)&gt;0,"33%",
 "0%")))</f>
        <v>33%</v>
      </c>
      <c r="S26" s="33"/>
      <c r="T26" s="33"/>
      <c r="U26" s="33"/>
      <c r="V26" s="33"/>
    </row>
    <row r="27" spans="1:22" ht="21" hidden="1" customHeight="1">
      <c r="A27" s="140" t="s">
        <v>338</v>
      </c>
      <c r="B27" s="140" t="s">
        <v>339</v>
      </c>
      <c r="C27" s="140">
        <v>6280</v>
      </c>
      <c r="D27" s="141" t="s">
        <v>340</v>
      </c>
      <c r="E27" s="141" t="s">
        <v>380</v>
      </c>
      <c r="F27" s="142" t="s">
        <v>393</v>
      </c>
      <c r="G27" s="140" t="s">
        <v>343</v>
      </c>
      <c r="H27" s="31" t="str">
        <f>A27&amp;B27&amp;"-"&amp;C27&amp;"-"&amp;D27&amp;E27&amp;"-"&amp;F27</f>
        <v>6105AK137-6280-CSSD-0009</v>
      </c>
      <c r="I27" s="141" t="s">
        <v>344</v>
      </c>
      <c r="J27" s="141"/>
      <c r="K27" s="140" t="s">
        <v>345</v>
      </c>
      <c r="L27" s="144" t="s">
        <v>394</v>
      </c>
      <c r="M27" s="140" t="s">
        <v>382</v>
      </c>
      <c r="N27" s="136" t="str">
        <f>K27&amp;" - "&amp;L27&amp;" - "&amp;M27</f>
        <v>Medium Voltage (33 kV) Overhead Powerlines - Anchor tower specification type A33-2-12 - Structural Steel Drawings</v>
      </c>
      <c r="O27" s="191">
        <v>46057</v>
      </c>
      <c r="P27" s="145">
        <v>46064</v>
      </c>
      <c r="Q27" s="145"/>
      <c r="R27" s="146" t="str">
        <f>IF(I27="Approved","100%",
 IF(LEN(Q27)&gt;0,"66%",
 IF(LEN(P27)&gt;0,"33%",
 "0%")))</f>
        <v>33%</v>
      </c>
      <c r="S27" s="141"/>
      <c r="T27" s="141"/>
      <c r="U27" s="141"/>
      <c r="V27" s="141"/>
    </row>
    <row r="28" spans="1:22" ht="21" hidden="1" customHeight="1">
      <c r="A28" s="31" t="s">
        <v>338</v>
      </c>
      <c r="B28" s="31" t="s">
        <v>339</v>
      </c>
      <c r="C28" s="31">
        <v>6280</v>
      </c>
      <c r="D28" s="33" t="s">
        <v>340</v>
      </c>
      <c r="E28" s="33" t="s">
        <v>380</v>
      </c>
      <c r="F28" s="110" t="s">
        <v>395</v>
      </c>
      <c r="G28" s="31" t="s">
        <v>343</v>
      </c>
      <c r="H28" s="31" t="str">
        <f>A28&amp;B28&amp;"-"&amp;C28&amp;"-"&amp;D28&amp;E28&amp;"-"&amp;F28</f>
        <v>6105AK137-6280-CSSD-0010</v>
      </c>
      <c r="I28" s="33" t="s">
        <v>344</v>
      </c>
      <c r="J28" s="33"/>
      <c r="K28" s="31" t="s">
        <v>345</v>
      </c>
      <c r="L28" s="185" t="s">
        <v>396</v>
      </c>
      <c r="M28" s="174" t="s">
        <v>382</v>
      </c>
      <c r="N28" s="136" t="str">
        <f>K28&amp;" - "&amp;L28&amp;" - "&amp;M28</f>
        <v>Medium Voltage (33 kV) Overhead Powerlines - Anchor tower specification type 1U110-4 - Structural Steel Drawings</v>
      </c>
      <c r="O28" s="112">
        <v>46052</v>
      </c>
      <c r="P28" s="114">
        <v>46128</v>
      </c>
      <c r="Q28" s="114"/>
      <c r="R28" s="132" t="str">
        <f>IF(I28="Approved","100%",
 IF(LEN(Q28)&gt;0,"66%",
 IF(LEN(P28)&gt;0,"33%",
 "0%")))</f>
        <v>33%</v>
      </c>
      <c r="S28" s="33"/>
      <c r="T28" s="33"/>
      <c r="U28" s="33"/>
      <c r="V28" s="33"/>
    </row>
    <row r="29" spans="1:22" ht="21" hidden="1" customHeight="1">
      <c r="A29" s="31" t="s">
        <v>338</v>
      </c>
      <c r="B29" s="31" t="s">
        <v>339</v>
      </c>
      <c r="C29" s="31">
        <v>6280</v>
      </c>
      <c r="D29" s="33" t="s">
        <v>340</v>
      </c>
      <c r="E29" s="33" t="s">
        <v>380</v>
      </c>
      <c r="F29" s="110" t="s">
        <v>397</v>
      </c>
      <c r="G29" s="31" t="s">
        <v>343</v>
      </c>
      <c r="H29" s="31" t="str">
        <f>A29&amp;B29&amp;"-"&amp;C29&amp;"-"&amp;D29&amp;E29&amp;"-"&amp;F29</f>
        <v>6105AK137-6280-CSSD-0011</v>
      </c>
      <c r="I29" s="33" t="s">
        <v>344</v>
      </c>
      <c r="J29" s="33"/>
      <c r="K29" s="31" t="s">
        <v>345</v>
      </c>
      <c r="L29" s="182" t="s">
        <v>398</v>
      </c>
      <c r="M29" s="174" t="s">
        <v>382</v>
      </c>
      <c r="N29" s="136" t="str">
        <f>K29&amp;" - "&amp;L29&amp;" - "&amp;M29</f>
        <v>Medium Voltage (33 kV) Overhead Powerlines - Anchor tower specification type 1U110-4+5 - Structural Steel Drawings</v>
      </c>
      <c r="O29" s="178">
        <v>46298</v>
      </c>
      <c r="P29" s="114">
        <v>46128</v>
      </c>
      <c r="Q29" s="114"/>
      <c r="R29" s="132" t="str">
        <f>IF(I29="Approved","100%",
 IF(LEN(Q29)&gt;0,"66%",
 IF(LEN(P29)&gt;0,"33%",
 "0%")))</f>
        <v>33%</v>
      </c>
      <c r="S29" s="33"/>
      <c r="T29" s="33"/>
      <c r="U29" s="33"/>
      <c r="V29" s="33"/>
    </row>
    <row r="30" spans="1:22" ht="21" hidden="1" customHeight="1">
      <c r="A30" s="31" t="s">
        <v>338</v>
      </c>
      <c r="B30" s="31" t="s">
        <v>339</v>
      </c>
      <c r="C30" s="31">
        <v>6280</v>
      </c>
      <c r="D30" s="33" t="s">
        <v>340</v>
      </c>
      <c r="E30" s="33" t="s">
        <v>380</v>
      </c>
      <c r="F30" s="110" t="s">
        <v>399</v>
      </c>
      <c r="G30" s="31" t="s">
        <v>343</v>
      </c>
      <c r="H30" s="31" t="str">
        <f>A30&amp;B30&amp;"-"&amp;C30&amp;"-"&amp;D30&amp;E30&amp;"-"&amp;F30</f>
        <v>6105AK137-6280-CSSD-0012</v>
      </c>
      <c r="I30" s="33" t="s">
        <v>344</v>
      </c>
      <c r="J30" s="33"/>
      <c r="K30" s="31" t="s">
        <v>345</v>
      </c>
      <c r="L30" s="182" t="s">
        <v>400</v>
      </c>
      <c r="M30" s="174" t="s">
        <v>382</v>
      </c>
      <c r="N30" s="136" t="str">
        <f>K30&amp;" - "&amp;L30&amp;" - "&amp;M30</f>
        <v>Medium Voltage (33 kV) Overhead Powerlines - Anchor tower specification type 1U110-4+10 - Structural Steel Drawings</v>
      </c>
      <c r="O30" s="177">
        <v>46176</v>
      </c>
      <c r="P30" s="114">
        <v>46128</v>
      </c>
      <c r="Q30" s="114"/>
      <c r="R30" s="132" t="str">
        <f>IF(I30="Approved","100%",
 IF(LEN(Q30)&gt;0,"66%",
 IF(LEN(P30)&gt;0,"33%",
 "0%")))</f>
        <v>33%</v>
      </c>
      <c r="S30" s="33"/>
      <c r="T30" s="33"/>
      <c r="U30" s="33"/>
      <c r="V30" s="33"/>
    </row>
    <row r="31" spans="1:22" ht="21" hidden="1" customHeight="1">
      <c r="A31" s="31" t="s">
        <v>338</v>
      </c>
      <c r="B31" s="31" t="s">
        <v>339</v>
      </c>
      <c r="C31" s="31">
        <v>6280</v>
      </c>
      <c r="D31" s="33" t="s">
        <v>340</v>
      </c>
      <c r="E31" s="33" t="s">
        <v>380</v>
      </c>
      <c r="F31" s="110" t="s">
        <v>401</v>
      </c>
      <c r="G31" s="31" t="s">
        <v>343</v>
      </c>
      <c r="H31" s="31" t="str">
        <f>A31&amp;B31&amp;"-"&amp;C31&amp;"-"&amp;D31&amp;E31&amp;"-"&amp;F31</f>
        <v>6105AK137-6280-CSSD-0013</v>
      </c>
      <c r="I31" s="33" t="s">
        <v>344</v>
      </c>
      <c r="J31" s="33"/>
      <c r="K31" s="31" t="s">
        <v>345</v>
      </c>
      <c r="L31" s="182" t="s">
        <v>402</v>
      </c>
      <c r="M31" s="174" t="s">
        <v>382</v>
      </c>
      <c r="N31" s="136" t="str">
        <f>K31&amp;" - "&amp;L31&amp;" - "&amp;M31</f>
        <v>Medium Voltage (33 kV) Overhead Powerlines - Anchor tower specification type 1U110-4+15 - Structural Steel Drawings</v>
      </c>
      <c r="O31" s="178">
        <v>46176</v>
      </c>
      <c r="P31" s="114">
        <v>46128</v>
      </c>
      <c r="Q31" s="114"/>
      <c r="R31" s="132" t="str">
        <f>IF(I31="Approved","100%",
 IF(LEN(Q31)&gt;0,"66%",
 IF(LEN(P31)&gt;0,"33%",
 "0%")))</f>
        <v>33%</v>
      </c>
      <c r="S31" s="33"/>
      <c r="T31" s="33"/>
      <c r="U31" s="33"/>
      <c r="V31" s="33"/>
    </row>
    <row r="32" spans="1:22" ht="21" hidden="1" customHeight="1">
      <c r="A32" s="31" t="s">
        <v>338</v>
      </c>
      <c r="B32" s="31" t="s">
        <v>339</v>
      </c>
      <c r="C32" s="31">
        <v>6280</v>
      </c>
      <c r="D32" s="33" t="s">
        <v>340</v>
      </c>
      <c r="E32" s="33" t="s">
        <v>380</v>
      </c>
      <c r="F32" s="110" t="s">
        <v>403</v>
      </c>
      <c r="G32" s="31" t="s">
        <v>343</v>
      </c>
      <c r="H32" s="31" t="str">
        <f>A32&amp;B32&amp;"-"&amp;C32&amp;"-"&amp;D32&amp;E32&amp;"-"&amp;F32</f>
        <v>6105AK137-6280-CSSD-0014</v>
      </c>
      <c r="I32" s="33" t="s">
        <v>344</v>
      </c>
      <c r="J32" s="33"/>
      <c r="K32" s="31" t="s">
        <v>345</v>
      </c>
      <c r="L32" s="182" t="s">
        <v>404</v>
      </c>
      <c r="M32" s="174" t="s">
        <v>382</v>
      </c>
      <c r="N32" s="136" t="str">
        <f>K32&amp;" - "&amp;L32&amp;" - "&amp;M32</f>
        <v>Medium Voltage (33 kV) Overhead Powerlines - Anchor tower specification. Details - Structural Steel Drawings</v>
      </c>
      <c r="O32" s="114">
        <v>46094</v>
      </c>
      <c r="P32" s="114">
        <v>46128</v>
      </c>
      <c r="Q32" s="114"/>
      <c r="R32" s="132" t="str">
        <f>IF(I32="Approved","100%",
 IF(LEN(Q32)&gt;0,"66%",
 IF(LEN(P32)&gt;0,"33%",
 "0%")))</f>
        <v>33%</v>
      </c>
      <c r="S32" s="33"/>
      <c r="T32" s="33"/>
      <c r="U32" s="33"/>
      <c r="V32" s="33"/>
    </row>
    <row r="33" spans="1:22" ht="21" hidden="1" customHeight="1">
      <c r="A33" s="31" t="s">
        <v>338</v>
      </c>
      <c r="B33" s="31" t="s">
        <v>339</v>
      </c>
      <c r="C33" s="31">
        <v>6280</v>
      </c>
      <c r="D33" s="33" t="s">
        <v>7</v>
      </c>
      <c r="E33" s="33" t="s">
        <v>341</v>
      </c>
      <c r="F33" s="110" t="s">
        <v>342</v>
      </c>
      <c r="G33" s="31">
        <v>0</v>
      </c>
      <c r="H33" s="31" t="str">
        <f>A33&amp;B33&amp;"-"&amp;C33&amp;"-"&amp;D33&amp;E33&amp;"-"&amp;F33</f>
        <v>6105AK137-6280-ECAL-0001</v>
      </c>
      <c r="I33" s="33" t="s">
        <v>405</v>
      </c>
      <c r="J33" s="33"/>
      <c r="K33" s="31" t="s">
        <v>345</v>
      </c>
      <c r="L33" s="136" t="s">
        <v>406</v>
      </c>
      <c r="M33" s="31" t="s">
        <v>347</v>
      </c>
      <c r="N33" s="136" t="str">
        <f>K33&amp;" - "&amp;L33&amp;" - "&amp;M33</f>
        <v>Medium Voltage (33 kV) Overhead Powerlines - 33 kV OHL - Calculation</v>
      </c>
      <c r="O33" s="114">
        <v>46048</v>
      </c>
      <c r="P33" s="114">
        <v>46071</v>
      </c>
      <c r="Q33" s="114">
        <v>46157</v>
      </c>
      <c r="R33" s="132" t="str">
        <f>IF(I33="Approved","100%",
 IF(LEN(Q33)&gt;0,"66%",
 IF(LEN(P33)&gt;0,"33%",
 "0%")))</f>
        <v>100%</v>
      </c>
      <c r="S33" s="33"/>
      <c r="T33" s="33"/>
      <c r="U33" s="33"/>
      <c r="V33" s="33" t="s">
        <v>407</v>
      </c>
    </row>
    <row r="34" spans="1:22" ht="21" hidden="1" customHeight="1">
      <c r="A34" s="31" t="s">
        <v>338</v>
      </c>
      <c r="B34" s="31" t="s">
        <v>339</v>
      </c>
      <c r="C34" s="31">
        <v>6280</v>
      </c>
      <c r="D34" s="33" t="s">
        <v>7</v>
      </c>
      <c r="E34" s="33" t="s">
        <v>341</v>
      </c>
      <c r="F34" s="110" t="s">
        <v>348</v>
      </c>
      <c r="G34" s="31" t="s">
        <v>343</v>
      </c>
      <c r="H34" s="31" t="str">
        <f>A34&amp;B34&amp;"-"&amp;C34&amp;"-"&amp;D34&amp;E34&amp;"-"&amp;F34</f>
        <v>6105AK137-6280-ECAL-0002</v>
      </c>
      <c r="I34" s="33" t="s">
        <v>344</v>
      </c>
      <c r="J34" s="33"/>
      <c r="K34" s="31" t="s">
        <v>345</v>
      </c>
      <c r="L34" s="136" t="s">
        <v>408</v>
      </c>
      <c r="M34" s="31" t="s">
        <v>347</v>
      </c>
      <c r="N34" s="136" t="str">
        <f>K34&amp;" - "&amp;L34&amp;" - "&amp;M34</f>
        <v>Medium Voltage (33 kV) Overhead Powerlines - Sags table - Calculation</v>
      </c>
      <c r="O34" s="114">
        <v>46076</v>
      </c>
      <c r="P34" s="114">
        <v>46078</v>
      </c>
      <c r="Q34" s="114"/>
      <c r="R34" s="132" t="str">
        <f>IF(I34="Approved","100%",
 IF(LEN(Q34)&gt;0,"66%",
 IF(LEN(P34)&gt;0,"33%",
 "0%")))</f>
        <v>33%</v>
      </c>
      <c r="S34" s="33"/>
      <c r="T34" s="33"/>
      <c r="U34" s="33"/>
      <c r="V34" s="33"/>
    </row>
    <row r="35" spans="1:22" ht="21" hidden="1" customHeight="1">
      <c r="A35" s="31" t="s">
        <v>338</v>
      </c>
      <c r="B35" s="31" t="s">
        <v>339</v>
      </c>
      <c r="C35" s="31">
        <v>6280</v>
      </c>
      <c r="D35" s="33" t="s">
        <v>7</v>
      </c>
      <c r="E35" s="33" t="s">
        <v>341</v>
      </c>
      <c r="F35" s="110" t="s">
        <v>355</v>
      </c>
      <c r="G35" s="31">
        <v>0</v>
      </c>
      <c r="H35" s="31" t="str">
        <f>A35&amp;B35&amp;"-"&amp;C35&amp;"-"&amp;D35&amp;E35&amp;"-"&amp;F35</f>
        <v>6105AK137-6280-ECAL-0003</v>
      </c>
      <c r="I35" s="33" t="s">
        <v>405</v>
      </c>
      <c r="J35" s="33"/>
      <c r="K35" s="31" t="s">
        <v>345</v>
      </c>
      <c r="L35" s="136" t="s">
        <v>409</v>
      </c>
      <c r="M35" s="174" t="s">
        <v>347</v>
      </c>
      <c r="N35" s="136" t="str">
        <f>K35&amp;" - "&amp;L35&amp;" - "&amp;M35</f>
        <v>Medium Voltage (33 kV) Overhead Powerlines - Mechanical calculation of conductor and electrical clearance - Calculation</v>
      </c>
      <c r="O35" s="177">
        <v>46176</v>
      </c>
      <c r="P35" s="114">
        <v>46140</v>
      </c>
      <c r="Q35" s="114">
        <v>46157</v>
      </c>
      <c r="R35" s="132" t="str">
        <f>IF(I35="Approved","100%",
 IF(LEN(Q35)&gt;0,"66%",
 IF(LEN(P35)&gt;0,"33%",
 "0%")))</f>
        <v>100%</v>
      </c>
      <c r="S35" s="33"/>
      <c r="T35" s="33"/>
      <c r="U35" s="33"/>
      <c r="V35" s="33"/>
    </row>
    <row r="36" spans="1:22" ht="21" hidden="1" customHeight="1">
      <c r="A36" s="31" t="s">
        <v>338</v>
      </c>
      <c r="B36" s="31" t="s">
        <v>339</v>
      </c>
      <c r="C36" s="31">
        <v>6280</v>
      </c>
      <c r="D36" s="33" t="s">
        <v>7</v>
      </c>
      <c r="E36" s="33" t="s">
        <v>410</v>
      </c>
      <c r="F36" s="110" t="s">
        <v>342</v>
      </c>
      <c r="G36" s="31" t="s">
        <v>343</v>
      </c>
      <c r="H36" s="31" t="str">
        <f>A36&amp;B36&amp;"-"&amp;C36&amp;"-"&amp;D36&amp;E36&amp;"-"&amp;F36</f>
        <v>6105AK137-6280-EDST-0001</v>
      </c>
      <c r="I36" s="33" t="s">
        <v>367</v>
      </c>
      <c r="J36" s="33"/>
      <c r="K36" s="31" t="s">
        <v>345</v>
      </c>
      <c r="L36" s="136" t="s">
        <v>411</v>
      </c>
      <c r="M36" s="31" t="s">
        <v>412</v>
      </c>
      <c r="N36" s="136" t="str">
        <f>K36&amp;" - "&amp;L36&amp;" - "&amp;M36</f>
        <v>Medium Voltage (33 kV) Overhead Powerlines - Insulator U120AD - Datasheet</v>
      </c>
      <c r="O36" s="112">
        <v>46079</v>
      </c>
      <c r="P36" s="114">
        <v>46091</v>
      </c>
      <c r="Q36" s="114"/>
      <c r="R36" s="132" t="str">
        <f>IF(I36="Approved","100%",
 IF(LEN(Q36)&gt;0,"66%",
 IF(LEN(P36)&gt;0,"33%",
 "0%")))</f>
        <v>33%</v>
      </c>
      <c r="S36" s="33"/>
      <c r="T36" s="33"/>
      <c r="U36" s="33"/>
      <c r="V36" s="33"/>
    </row>
    <row r="37" spans="1:22" ht="21" hidden="1" customHeight="1">
      <c r="A37" s="31" t="s">
        <v>338</v>
      </c>
      <c r="B37" s="31" t="s">
        <v>339</v>
      </c>
      <c r="C37" s="31">
        <v>6280</v>
      </c>
      <c r="D37" s="33" t="s">
        <v>7</v>
      </c>
      <c r="E37" s="33" t="s">
        <v>410</v>
      </c>
      <c r="F37" s="110" t="s">
        <v>348</v>
      </c>
      <c r="G37" s="31">
        <v>0</v>
      </c>
      <c r="H37" s="31" t="str">
        <f>A37&amp;B37&amp;"-"&amp;C37&amp;"-"&amp;D37&amp;E37&amp;"-"&amp;F37</f>
        <v>6105AK137-6280-EDST-0002</v>
      </c>
      <c r="I37" s="33" t="s">
        <v>405</v>
      </c>
      <c r="J37" s="33"/>
      <c r="K37" s="31" t="s">
        <v>345</v>
      </c>
      <c r="L37" s="136" t="s">
        <v>413</v>
      </c>
      <c r="M37" s="31" t="s">
        <v>412</v>
      </c>
      <c r="N37" s="136" t="str">
        <f>K37&amp;" - "&amp;L37&amp;" - "&amp;M37</f>
        <v>Medium Voltage (33 kV) Overhead Powerlines - OPGW - Datasheet</v>
      </c>
      <c r="O37" s="114">
        <v>46048</v>
      </c>
      <c r="P37" s="114">
        <v>46140</v>
      </c>
      <c r="Q37" s="114">
        <v>46157</v>
      </c>
      <c r="R37" s="132" t="str">
        <f>IF(I37="Approved","100%",
 IF(LEN(Q37)&gt;0,"66%",
 IF(LEN(P37)&gt;0,"33%",
 "0%")))</f>
        <v>100%</v>
      </c>
      <c r="S37" s="33"/>
      <c r="T37" s="33"/>
      <c r="U37" s="33"/>
      <c r="V37" s="33"/>
    </row>
    <row r="38" spans="1:22" ht="21" hidden="1" customHeight="1">
      <c r="A38" s="31" t="s">
        <v>338</v>
      </c>
      <c r="B38" s="31" t="s">
        <v>339</v>
      </c>
      <c r="C38" s="31">
        <v>6280</v>
      </c>
      <c r="D38" s="33" t="s">
        <v>7</v>
      </c>
      <c r="E38" s="33" t="s">
        <v>410</v>
      </c>
      <c r="F38" s="110" t="s">
        <v>355</v>
      </c>
      <c r="G38" s="31">
        <v>0</v>
      </c>
      <c r="H38" s="31" t="str">
        <f>A38&amp;B38&amp;"-"&amp;C38&amp;"-"&amp;D38&amp;E38&amp;"-"&amp;F38</f>
        <v>6105AK137-6280-EDST-0003</v>
      </c>
      <c r="I38" s="33" t="s">
        <v>405</v>
      </c>
      <c r="J38" s="33"/>
      <c r="K38" s="31" t="s">
        <v>345</v>
      </c>
      <c r="L38" s="136" t="s">
        <v>414</v>
      </c>
      <c r="M38" s="31" t="s">
        <v>412</v>
      </c>
      <c r="N38" s="136" t="str">
        <f>K38&amp;" - "&amp;L38&amp;" - "&amp;M38</f>
        <v>Medium Voltage (33 kV) Overhead Powerlines - Splice box - Datasheet</v>
      </c>
      <c r="O38" s="114">
        <v>46076</v>
      </c>
      <c r="P38" s="114">
        <v>46080</v>
      </c>
      <c r="Q38" s="114">
        <v>46157</v>
      </c>
      <c r="R38" s="132" t="str">
        <f>IF(I38="Approved","100%",
 IF(LEN(Q38)&gt;0,"66%",
 IF(LEN(P38)&gt;0,"33%",
 "0%")))</f>
        <v>100%</v>
      </c>
      <c r="S38" s="33"/>
      <c r="T38" s="33"/>
      <c r="U38" s="33"/>
      <c r="V38" s="33"/>
    </row>
    <row r="39" spans="1:22" ht="21" customHeight="1">
      <c r="A39" s="31" t="s">
        <v>338</v>
      </c>
      <c r="B39" s="31" t="s">
        <v>339</v>
      </c>
      <c r="C39" s="31">
        <v>6280</v>
      </c>
      <c r="D39" s="33" t="s">
        <v>7</v>
      </c>
      <c r="E39" s="33" t="s">
        <v>410</v>
      </c>
      <c r="F39" s="110" t="s">
        <v>350</v>
      </c>
      <c r="G39" s="31">
        <v>0</v>
      </c>
      <c r="H39" s="31" t="str">
        <f>A39&amp;B39&amp;"-"&amp;C39&amp;"-"&amp;D39&amp;E39&amp;"-"&amp;F39</f>
        <v>6105AK137-6280-EDST-0004</v>
      </c>
      <c r="I39" s="33"/>
      <c r="J39" s="33"/>
      <c r="K39" s="31" t="s">
        <v>345</v>
      </c>
      <c r="L39" s="136" t="s">
        <v>415</v>
      </c>
      <c r="M39" s="31" t="s">
        <v>412</v>
      </c>
      <c r="N39" s="136" t="str">
        <f>K39&amp;" - "&amp;L39&amp;" - "&amp;M39</f>
        <v>Medium Voltage (33 kV) Overhead Powerlines - Line fittings and clamps - Datasheet</v>
      </c>
      <c r="O39" s="108"/>
      <c r="P39" s="114"/>
      <c r="Q39" s="114"/>
      <c r="R39" s="132"/>
      <c r="S39" s="33"/>
      <c r="T39" s="33"/>
      <c r="U39" s="33"/>
      <c r="V39" s="33"/>
    </row>
    <row r="40" spans="1:22" ht="21" hidden="1" customHeight="1">
      <c r="A40" s="31" t="s">
        <v>338</v>
      </c>
      <c r="B40" s="31" t="s">
        <v>339</v>
      </c>
      <c r="C40" s="31">
        <v>6286</v>
      </c>
      <c r="D40" s="33" t="s">
        <v>7</v>
      </c>
      <c r="E40" s="33" t="s">
        <v>410</v>
      </c>
      <c r="F40" s="110" t="s">
        <v>342</v>
      </c>
      <c r="G40" s="31" t="s">
        <v>343</v>
      </c>
      <c r="H40" s="31" t="str">
        <f>A40&amp;B40&amp;"-"&amp;C40&amp;"-"&amp;D40&amp;E40&amp;"-"&amp;F40</f>
        <v>6105AK137-6286-EDST-0001</v>
      </c>
      <c r="I40" s="33" t="s">
        <v>344</v>
      </c>
      <c r="J40" s="33"/>
      <c r="K40" s="31" t="s">
        <v>416</v>
      </c>
      <c r="L40" s="136" t="s">
        <v>417</v>
      </c>
      <c r="M40" s="31" t="s">
        <v>412</v>
      </c>
      <c r="N40" s="136" t="str">
        <f>K40&amp;" - "&amp;L40&amp;" - "&amp;M40</f>
        <v>Mining Open Pit - 11 kV OHL Insulator U70BS - Datasheet</v>
      </c>
      <c r="O40" s="114">
        <v>46079</v>
      </c>
      <c r="P40" s="114">
        <v>46091</v>
      </c>
      <c r="Q40" s="114"/>
      <c r="R40" s="132" t="str">
        <f>IF(I40="Approved","100%",
 IF(LEN(Q40)&gt;0,"66%",
 IF(LEN(P40)&gt;0,"33%",
 "0%")))</f>
        <v>33%</v>
      </c>
      <c r="S40" s="33"/>
      <c r="T40" s="33"/>
      <c r="U40" s="33"/>
      <c r="V40" s="33"/>
    </row>
    <row r="41" spans="1:22" ht="21" hidden="1" customHeight="1">
      <c r="A41" s="31" t="s">
        <v>338</v>
      </c>
      <c r="B41" s="31" t="s">
        <v>339</v>
      </c>
      <c r="C41" s="31">
        <v>6280</v>
      </c>
      <c r="D41" s="33" t="s">
        <v>7</v>
      </c>
      <c r="E41" s="33" t="s">
        <v>352</v>
      </c>
      <c r="F41" s="110" t="s">
        <v>342</v>
      </c>
      <c r="G41" s="31" t="s">
        <v>343</v>
      </c>
      <c r="H41" s="31" t="str">
        <f>A41&amp;B41&amp;"-"&amp;C41&amp;"-"&amp;D41&amp;E41&amp;"-"&amp;F41</f>
        <v>6105AK137-6280-EDTL-0001</v>
      </c>
      <c r="I41" s="33"/>
      <c r="J41" s="33"/>
      <c r="K41" s="31" t="s">
        <v>345</v>
      </c>
      <c r="L41" s="188" t="s">
        <v>418</v>
      </c>
      <c r="M41" s="31" t="s">
        <v>354</v>
      </c>
      <c r="N41" s="136" t="str">
        <f>K41&amp;" - "&amp;L41&amp;" - "&amp;M41</f>
        <v>Medium Voltage (33 kV) Overhead Powerlines - OHL to cable transitions for tie-in - Details</v>
      </c>
      <c r="O41" s="114">
        <v>46076</v>
      </c>
      <c r="P41" s="114"/>
      <c r="Q41" s="114"/>
      <c r="R41" s="132" t="str">
        <f>IF(I41="Approved","100%",
 IF(LEN(Q41)&gt;0,"66%",
 IF(LEN(P41)&gt;0,"33%",
 "0%")))</f>
        <v>0%</v>
      </c>
      <c r="S41" s="33"/>
      <c r="T41" s="33"/>
      <c r="U41" s="33"/>
      <c r="V41" s="33"/>
    </row>
    <row r="42" spans="1:22" ht="21" hidden="1" customHeight="1">
      <c r="A42" s="31" t="s">
        <v>338</v>
      </c>
      <c r="B42" s="31" t="s">
        <v>339</v>
      </c>
      <c r="C42" s="31">
        <v>6280</v>
      </c>
      <c r="D42" s="33" t="s">
        <v>7</v>
      </c>
      <c r="E42" s="33" t="s">
        <v>352</v>
      </c>
      <c r="F42" s="110" t="s">
        <v>348</v>
      </c>
      <c r="G42" s="31" t="s">
        <v>343</v>
      </c>
      <c r="H42" s="31" t="str">
        <f>A42&amp;B42&amp;"-"&amp;C42&amp;"-"&amp;D42&amp;E42&amp;"-"&amp;F42</f>
        <v>6105AK137-6280-EDTL-0002</v>
      </c>
      <c r="I42" s="33"/>
      <c r="J42" s="33"/>
      <c r="K42" s="31" t="s">
        <v>345</v>
      </c>
      <c r="L42" s="136" t="s">
        <v>419</v>
      </c>
      <c r="M42" s="31" t="s">
        <v>354</v>
      </c>
      <c r="N42" s="136" t="str">
        <f>K42&amp;" - "&amp;L42&amp;" - "&amp;M42</f>
        <v>Medium Voltage (33 kV) Overhead Powerlines - Insulator set PP-1  - Details</v>
      </c>
      <c r="O42" s="114">
        <v>46069</v>
      </c>
      <c r="P42" s="114"/>
      <c r="Q42" s="114"/>
      <c r="R42" s="132" t="str">
        <f>IF(I42="Approved","100%",
 IF(LEN(Q42)&gt;0,"66%",
 IF(LEN(P42)&gt;0,"33%",
 "0%")))</f>
        <v>0%</v>
      </c>
      <c r="S42" s="33"/>
      <c r="T42" s="33"/>
      <c r="U42" s="33"/>
      <c r="V42" s="33"/>
    </row>
    <row r="43" spans="1:22" ht="21" hidden="1" customHeight="1">
      <c r="A43" s="31" t="s">
        <v>338</v>
      </c>
      <c r="B43" s="31" t="s">
        <v>339</v>
      </c>
      <c r="C43" s="31">
        <v>6280</v>
      </c>
      <c r="D43" s="33" t="s">
        <v>7</v>
      </c>
      <c r="E43" s="33" t="s">
        <v>352</v>
      </c>
      <c r="F43" s="110" t="s">
        <v>355</v>
      </c>
      <c r="G43" s="31">
        <v>0</v>
      </c>
      <c r="H43" s="31" t="str">
        <f>A43&amp;B43&amp;"-"&amp;C43&amp;"-"&amp;D43&amp;E43&amp;"-"&amp;F43</f>
        <v>6105AK137-6280-EDTL-0003</v>
      </c>
      <c r="I43" s="33" t="s">
        <v>405</v>
      </c>
      <c r="J43" s="33"/>
      <c r="K43" s="31" t="s">
        <v>345</v>
      </c>
      <c r="L43" s="136" t="s">
        <v>420</v>
      </c>
      <c r="M43" s="31" t="s">
        <v>354</v>
      </c>
      <c r="N43" s="136" t="str">
        <f>K43&amp;" - "&amp;L43&amp;" - "&amp;M43</f>
        <v>Medium Voltage (33 kV) Overhead Powerlines - Desoldering scheme of optical fibers - Details</v>
      </c>
      <c r="O43" s="190" t="s">
        <v>421</v>
      </c>
      <c r="P43" s="114">
        <v>46085</v>
      </c>
      <c r="Q43" s="114">
        <v>46129</v>
      </c>
      <c r="R43" s="132" t="str">
        <f>IF(I43="Approved","100%",
 IF(LEN(Q43)&gt;0,"66%",
 IF(LEN(P43)&gt;0,"33%",
 "0%")))</f>
        <v>100%</v>
      </c>
      <c r="S43" s="33"/>
      <c r="T43" s="33"/>
      <c r="U43" s="33"/>
      <c r="V43" s="31"/>
    </row>
    <row r="44" spans="1:22" ht="21" hidden="1" customHeight="1">
      <c r="A44" s="31" t="s">
        <v>338</v>
      </c>
      <c r="B44" s="31" t="s">
        <v>339</v>
      </c>
      <c r="C44" s="31">
        <v>6280</v>
      </c>
      <c r="D44" s="33" t="s">
        <v>7</v>
      </c>
      <c r="E44" s="33" t="s">
        <v>352</v>
      </c>
      <c r="F44" s="110" t="s">
        <v>350</v>
      </c>
      <c r="G44" s="31" t="s">
        <v>343</v>
      </c>
      <c r="H44" s="31" t="str">
        <f>A44&amp;B44&amp;"-"&amp;C44&amp;"-"&amp;D44&amp;E44&amp;"-"&amp;F44</f>
        <v>6105AK137-6280-EDTL-0004</v>
      </c>
      <c r="I44" s="33" t="s">
        <v>344</v>
      </c>
      <c r="J44" s="33"/>
      <c r="K44" s="31" t="s">
        <v>345</v>
      </c>
      <c r="L44" s="136" t="s">
        <v>422</v>
      </c>
      <c r="M44" s="31" t="s">
        <v>354</v>
      </c>
      <c r="N44" s="136" t="str">
        <f>K44&amp;" - "&amp;L44&amp;" - "&amp;M44</f>
        <v>Medium Voltage (33 kV) Overhead Powerlines - Groundwire fastener NPT-2 - Details</v>
      </c>
      <c r="O44" s="114">
        <v>46069</v>
      </c>
      <c r="P44" s="114">
        <v>46079</v>
      </c>
      <c r="Q44" s="114"/>
      <c r="R44" s="132" t="str">
        <f>IF(I44="Approved","100%",
 IF(LEN(Q44)&gt;0,"66%",
 IF(LEN(P44)&gt;0,"33%",
 "0%")))</f>
        <v>33%</v>
      </c>
      <c r="S44" s="33"/>
      <c r="T44" s="33"/>
      <c r="U44" s="33"/>
      <c r="V44" s="31"/>
    </row>
    <row r="45" spans="1:22" ht="21" hidden="1" customHeight="1">
      <c r="A45" s="31" t="s">
        <v>338</v>
      </c>
      <c r="B45" s="31" t="s">
        <v>339</v>
      </c>
      <c r="C45" s="31">
        <v>6280</v>
      </c>
      <c r="D45" s="33" t="s">
        <v>7</v>
      </c>
      <c r="E45" s="33" t="s">
        <v>352</v>
      </c>
      <c r="F45" s="110" t="s">
        <v>358</v>
      </c>
      <c r="G45" s="31" t="s">
        <v>343</v>
      </c>
      <c r="H45" s="31" t="str">
        <f>A45&amp;B45&amp;"-"&amp;C45&amp;"-"&amp;D45&amp;E45&amp;"-"&amp;F45</f>
        <v>6105AK137-6280-EDTL-0005</v>
      </c>
      <c r="I45" s="33"/>
      <c r="J45" s="33"/>
      <c r="K45" s="31" t="s">
        <v>345</v>
      </c>
      <c r="L45" s="136" t="s">
        <v>423</v>
      </c>
      <c r="M45" s="31" t="s">
        <v>354</v>
      </c>
      <c r="N45" s="136" t="str">
        <f>K45&amp;" - "&amp;L45&amp;" - "&amp;M45</f>
        <v>Medium Voltage (33 kV) Overhead Powerlines - Grounding connections to the towers - Details</v>
      </c>
      <c r="O45" s="114">
        <v>46079</v>
      </c>
      <c r="P45" s="114"/>
      <c r="Q45" s="114"/>
      <c r="R45" s="132" t="str">
        <f>IF(I45="Approved","100%",
 IF(LEN(Q45)&gt;0,"66%",
 IF(LEN(P45)&gt;0,"33%",
 "0%")))</f>
        <v>0%</v>
      </c>
      <c r="S45" s="33"/>
      <c r="T45" s="33"/>
      <c r="U45" s="33"/>
      <c r="V45" s="31"/>
    </row>
    <row r="46" spans="1:22" ht="21" hidden="1" customHeight="1">
      <c r="A46" s="31" t="s">
        <v>338</v>
      </c>
      <c r="B46" s="31" t="s">
        <v>339</v>
      </c>
      <c r="C46" s="31">
        <v>6280</v>
      </c>
      <c r="D46" s="33" t="s">
        <v>7</v>
      </c>
      <c r="E46" s="33" t="s">
        <v>352</v>
      </c>
      <c r="F46" s="110" t="s">
        <v>387</v>
      </c>
      <c r="G46" s="31" t="s">
        <v>343</v>
      </c>
      <c r="H46" s="31" t="str">
        <f>A46&amp;B46&amp;"-"&amp;C46&amp;"-"&amp;D46&amp;E46&amp;"-"&amp;F46</f>
        <v>6105AK137-6280-EDTL-0006</v>
      </c>
      <c r="I46" s="33" t="s">
        <v>367</v>
      </c>
      <c r="J46" s="33"/>
      <c r="K46" s="31" t="s">
        <v>345</v>
      </c>
      <c r="L46" s="136" t="s">
        <v>424</v>
      </c>
      <c r="M46" s="31" t="s">
        <v>354</v>
      </c>
      <c r="N46" s="136" t="str">
        <f>K46&amp;" - "&amp;L46&amp;" - "&amp;M46</f>
        <v>Medium Voltage (33 kV) Overhead Powerlines - Groundwire fastener PPT-2 - Details</v>
      </c>
      <c r="O46" s="114">
        <v>46069</v>
      </c>
      <c r="P46" s="112">
        <v>46079</v>
      </c>
      <c r="Q46" s="114"/>
      <c r="R46" s="132" t="str">
        <f>IF(I46="Approved","100%",
 IF(LEN(Q46)&gt;0,"66%",
 IF(LEN(P46)&gt;0,"33%",
 "0%")))</f>
        <v>33%</v>
      </c>
      <c r="S46" s="33"/>
      <c r="T46" s="33"/>
      <c r="U46" s="33"/>
      <c r="V46" s="31"/>
    </row>
    <row r="47" spans="1:22" ht="21" hidden="1" customHeight="1">
      <c r="A47" s="31" t="s">
        <v>338</v>
      </c>
      <c r="B47" s="31" t="s">
        <v>339</v>
      </c>
      <c r="C47" s="31">
        <v>6280</v>
      </c>
      <c r="D47" s="33" t="s">
        <v>7</v>
      </c>
      <c r="E47" s="33" t="s">
        <v>352</v>
      </c>
      <c r="F47" s="110" t="s">
        <v>389</v>
      </c>
      <c r="G47" s="31" t="s">
        <v>343</v>
      </c>
      <c r="H47" s="31" t="str">
        <f>A47&amp;B47&amp;"-"&amp;C47&amp;"-"&amp;D47&amp;E47&amp;"-"&amp;F47</f>
        <v>6105AK137-6280-EDTL-0007</v>
      </c>
      <c r="I47" s="33"/>
      <c r="J47" s="33"/>
      <c r="K47" s="31" t="s">
        <v>345</v>
      </c>
      <c r="L47" s="136" t="s">
        <v>425</v>
      </c>
      <c r="M47" s="31" t="s">
        <v>354</v>
      </c>
      <c r="N47" s="136" t="str">
        <f>K47&amp;" - "&amp;L47&amp;" - "&amp;M47</f>
        <v>Medium Voltage (33 kV) Overhead Powerlines - Bill of insultor sets - Details</v>
      </c>
      <c r="O47" s="114">
        <v>46073</v>
      </c>
      <c r="P47" s="114"/>
      <c r="Q47" s="114"/>
      <c r="R47" s="132" t="str">
        <f>IF(I47="Approved","100%",
 IF(LEN(Q47)&gt;0,"66%",
 IF(LEN(P47)&gt;0,"33%",
 "0%")))</f>
        <v>0%</v>
      </c>
      <c r="S47" s="33"/>
      <c r="T47" s="33"/>
      <c r="U47" s="33"/>
      <c r="V47" s="31"/>
    </row>
    <row r="48" spans="1:22" ht="21" hidden="1" customHeight="1">
      <c r="A48" s="31" t="s">
        <v>338</v>
      </c>
      <c r="B48" s="31" t="s">
        <v>339</v>
      </c>
      <c r="C48" s="31">
        <v>6280</v>
      </c>
      <c r="D48" s="33" t="s">
        <v>7</v>
      </c>
      <c r="E48" s="33" t="s">
        <v>352</v>
      </c>
      <c r="F48" s="110" t="s">
        <v>393</v>
      </c>
      <c r="G48" s="31" t="s">
        <v>343</v>
      </c>
      <c r="H48" s="31" t="str">
        <f>A48&amp;B48&amp;"-"&amp;C48&amp;"-"&amp;D48&amp;E48&amp;"-"&amp;F48</f>
        <v>6105AK137-6280-EDTL-0009</v>
      </c>
      <c r="I48" s="33"/>
      <c r="J48" s="33"/>
      <c r="K48" s="31" t="s">
        <v>345</v>
      </c>
      <c r="L48" s="136" t="s">
        <v>426</v>
      </c>
      <c r="M48" s="31" t="s">
        <v>354</v>
      </c>
      <c r="N48" s="136" t="str">
        <f>K48&amp;" - "&amp;L48&amp;" - "&amp;M48</f>
        <v>Medium Voltage (33 kV) Overhead Powerlines - Grounding divices - Details</v>
      </c>
      <c r="O48" s="112">
        <v>46076</v>
      </c>
      <c r="P48" s="114"/>
      <c r="Q48" s="114"/>
      <c r="R48" s="132" t="str">
        <f>IF(I48="Approved","100%",
 IF(LEN(Q48)&gt;0,"66%",
 IF(LEN(P48)&gt;0,"33%",
 "0%")))</f>
        <v>0%</v>
      </c>
      <c r="S48" s="33"/>
      <c r="T48" s="33"/>
      <c r="U48" s="33"/>
      <c r="V48" s="31"/>
    </row>
    <row r="49" spans="1:22" ht="21" hidden="1" customHeight="1">
      <c r="A49" s="31" t="s">
        <v>338</v>
      </c>
      <c r="B49" s="31" t="s">
        <v>339</v>
      </c>
      <c r="C49" s="31">
        <v>6280</v>
      </c>
      <c r="D49" s="33" t="s">
        <v>7</v>
      </c>
      <c r="E49" s="33" t="s">
        <v>352</v>
      </c>
      <c r="F49" s="110" t="s">
        <v>395</v>
      </c>
      <c r="G49" s="31" t="s">
        <v>343</v>
      </c>
      <c r="H49" s="31" t="str">
        <f>A49&amp;B49&amp;"-"&amp;C49&amp;"-"&amp;D49&amp;E49&amp;"-"&amp;F49</f>
        <v>6105AK137-6280-EDTL-0010</v>
      </c>
      <c r="I49" s="33"/>
      <c r="J49" s="33"/>
      <c r="K49" s="31" t="s">
        <v>345</v>
      </c>
      <c r="L49" s="136" t="s">
        <v>427</v>
      </c>
      <c r="M49" s="31" t="s">
        <v>354</v>
      </c>
      <c r="N49" s="136" t="str">
        <f>K49&amp;" - "&amp;L49&amp;" - "&amp;M49</f>
        <v>Medium Voltage (33 kV) Overhead Powerlines - Detailed Ground devices bill - Details</v>
      </c>
      <c r="O49" s="112">
        <v>46076</v>
      </c>
      <c r="P49" s="114"/>
      <c r="Q49" s="114"/>
      <c r="R49" s="132" t="str">
        <f>IF(I49="Approved","100%",
 IF(LEN(Q49)&gt;0,"66%",
 IF(LEN(P49)&gt;0,"33%",
 "0%")))</f>
        <v>0%</v>
      </c>
      <c r="S49" s="33"/>
      <c r="T49" s="33"/>
      <c r="U49" s="33"/>
      <c r="V49" s="31"/>
    </row>
    <row r="50" spans="1:22" ht="21" hidden="1" customHeight="1">
      <c r="A50" s="31" t="s">
        <v>338</v>
      </c>
      <c r="B50" s="31" t="s">
        <v>339</v>
      </c>
      <c r="C50" s="31">
        <v>6280</v>
      </c>
      <c r="D50" s="33" t="s">
        <v>7</v>
      </c>
      <c r="E50" s="33" t="s">
        <v>352</v>
      </c>
      <c r="F50" s="110" t="s">
        <v>397</v>
      </c>
      <c r="G50" s="31">
        <v>0</v>
      </c>
      <c r="H50" s="31" t="str">
        <f>A50&amp;B50&amp;"-"&amp;C50&amp;"-"&amp;D50&amp;E50&amp;"-"&amp;F50</f>
        <v>6105AK137-6280-EDTL-0011</v>
      </c>
      <c r="I50" s="33" t="s">
        <v>428</v>
      </c>
      <c r="J50" s="33"/>
      <c r="K50" s="31" t="s">
        <v>345</v>
      </c>
      <c r="L50" s="136" t="s">
        <v>429</v>
      </c>
      <c r="M50" s="31" t="s">
        <v>354</v>
      </c>
      <c r="N50" s="136" t="str">
        <f>K50&amp;" - "&amp;L50&amp;" - "&amp;M50</f>
        <v>Medium Voltage (33 kV) Overhead Powerlines - Insulator set NP-1 - Details</v>
      </c>
      <c r="O50" s="114">
        <v>46069</v>
      </c>
      <c r="P50" s="114">
        <v>46091</v>
      </c>
      <c r="Q50" s="114">
        <v>46098</v>
      </c>
      <c r="R50" s="132" t="str">
        <f>IF(I50="Approved","100%",
 IF(LEN(Q50)&gt;0,"66%",
 IF(LEN(P50)&gt;0,"33%",
 "0%")))</f>
        <v>66%</v>
      </c>
      <c r="S50" s="33"/>
      <c r="T50" s="33"/>
      <c r="U50" s="33"/>
      <c r="V50" s="31"/>
    </row>
    <row r="51" spans="1:22" ht="21" hidden="1" customHeight="1">
      <c r="A51" s="31" t="s">
        <v>338</v>
      </c>
      <c r="B51" s="31" t="s">
        <v>339</v>
      </c>
      <c r="C51" s="31">
        <v>6280</v>
      </c>
      <c r="D51" s="33" t="s">
        <v>7</v>
      </c>
      <c r="E51" s="33" t="s">
        <v>352</v>
      </c>
      <c r="F51" s="110" t="s">
        <v>399</v>
      </c>
      <c r="G51" s="31">
        <v>0</v>
      </c>
      <c r="H51" s="31" t="str">
        <f>A51&amp;B51&amp;"-"&amp;C51&amp;"-"&amp;D51&amp;E51&amp;"-"&amp;F51</f>
        <v>6105AK137-6280-EDTL-0012</v>
      </c>
      <c r="I51" s="33" t="s">
        <v>428</v>
      </c>
      <c r="J51" s="33"/>
      <c r="K51" s="31" t="s">
        <v>345</v>
      </c>
      <c r="L51" s="136" t="s">
        <v>430</v>
      </c>
      <c r="M51" s="31" t="s">
        <v>354</v>
      </c>
      <c r="N51" s="136" t="str">
        <f>K51&amp;" - "&amp;L51&amp;" - "&amp;M51</f>
        <v>Medium Voltage (33 kV) Overhead Powerlines - Insulator set PP-1 - Details</v>
      </c>
      <c r="O51" s="189">
        <v>46048</v>
      </c>
      <c r="P51" s="114">
        <v>46091</v>
      </c>
      <c r="Q51" s="114">
        <v>46098</v>
      </c>
      <c r="R51" s="132" t="str">
        <f>IF(I51="Approved","100%",
 IF(LEN(Q51)&gt;0,"66%",
 IF(LEN(P51)&gt;0,"33%",
 "0%")))</f>
        <v>66%</v>
      </c>
      <c r="S51" s="33"/>
      <c r="T51" s="33"/>
      <c r="U51" s="33"/>
      <c r="V51" s="31"/>
    </row>
    <row r="52" spans="1:22" ht="21" hidden="1" customHeight="1">
      <c r="A52" s="31" t="s">
        <v>338</v>
      </c>
      <c r="B52" s="31" t="s">
        <v>339</v>
      </c>
      <c r="C52" s="31">
        <v>6280</v>
      </c>
      <c r="D52" s="33" t="s">
        <v>7</v>
      </c>
      <c r="E52" s="33" t="s">
        <v>352</v>
      </c>
      <c r="F52" s="110" t="s">
        <v>403</v>
      </c>
      <c r="G52" s="31">
        <v>0</v>
      </c>
      <c r="H52" s="31" t="str">
        <f>A52&amp;B52&amp;"-"&amp;C52&amp;"-"&amp;D52&amp;E52&amp;"-"&amp;F52</f>
        <v>6105AK137-6280-EDTL-0014</v>
      </c>
      <c r="I52" s="33" t="s">
        <v>428</v>
      </c>
      <c r="J52" s="33"/>
      <c r="K52" s="31" t="s">
        <v>345</v>
      </c>
      <c r="L52" s="136" t="s">
        <v>431</v>
      </c>
      <c r="M52" s="31" t="s">
        <v>354</v>
      </c>
      <c r="N52" s="136" t="str">
        <f>K52&amp;" - "&amp;L52&amp;" - "&amp;M52</f>
        <v>Medium Voltage (33 kV) Overhead Powerlines - OPGW fastener NPT-1 - Details</v>
      </c>
      <c r="O52" s="114">
        <v>46048</v>
      </c>
      <c r="P52" s="114">
        <v>46091</v>
      </c>
      <c r="Q52" s="114">
        <v>46098</v>
      </c>
      <c r="R52" s="132" t="str">
        <f>IF(I52="Approved","100%",
 IF(LEN(Q52)&gt;0,"66%",
 IF(LEN(P52)&gt;0,"33%",
 "0%")))</f>
        <v>66%</v>
      </c>
      <c r="S52" s="33"/>
      <c r="T52" s="33"/>
      <c r="U52" s="33"/>
      <c r="V52" s="31"/>
    </row>
    <row r="53" spans="1:22" ht="21" hidden="1" customHeight="1">
      <c r="A53" s="31" t="s">
        <v>338</v>
      </c>
      <c r="B53" s="31" t="s">
        <v>339</v>
      </c>
      <c r="C53" s="31">
        <v>6280</v>
      </c>
      <c r="D53" s="33" t="s">
        <v>7</v>
      </c>
      <c r="E53" s="33" t="s">
        <v>352</v>
      </c>
      <c r="F53" s="110" t="s">
        <v>432</v>
      </c>
      <c r="G53" s="31">
        <v>0</v>
      </c>
      <c r="H53" s="31" t="str">
        <f>A53&amp;B53&amp;"-"&amp;C53&amp;"-"&amp;D53&amp;E53&amp;"-"&amp;F53</f>
        <v>6105AK137-6280-EDTL-0015</v>
      </c>
      <c r="I53" s="33" t="s">
        <v>428</v>
      </c>
      <c r="J53" s="33"/>
      <c r="K53" s="31" t="s">
        <v>345</v>
      </c>
      <c r="L53" s="136" t="s">
        <v>433</v>
      </c>
      <c r="M53" s="31" t="s">
        <v>354</v>
      </c>
      <c r="N53" s="136" t="str">
        <f>K53&amp;" - "&amp;L53&amp;" - "&amp;M53</f>
        <v>Medium Voltage (33 kV) Overhead Powerlines - OPGW fastener PPT-1 - Details</v>
      </c>
      <c r="O53" s="112">
        <v>46048</v>
      </c>
      <c r="P53" s="114">
        <v>46091</v>
      </c>
      <c r="Q53" s="114">
        <v>46098</v>
      </c>
      <c r="R53" s="132" t="str">
        <f>IF(I53="Approved","100%",
 IF(LEN(Q53)&gt;0,"66%",
 IF(LEN(P53)&gt;0,"33%",
 "0%")))</f>
        <v>66%</v>
      </c>
      <c r="S53" s="33"/>
      <c r="T53" s="33"/>
      <c r="U53" s="33"/>
      <c r="V53" s="31"/>
    </row>
    <row r="54" spans="1:22" ht="21" hidden="1" customHeight="1">
      <c r="A54" s="31" t="s">
        <v>338</v>
      </c>
      <c r="B54" s="31" t="s">
        <v>339</v>
      </c>
      <c r="C54" s="31">
        <v>6280</v>
      </c>
      <c r="D54" s="33" t="s">
        <v>7</v>
      </c>
      <c r="E54" s="33" t="s">
        <v>352</v>
      </c>
      <c r="F54" s="110" t="s">
        <v>434</v>
      </c>
      <c r="G54" s="31" t="s">
        <v>343</v>
      </c>
      <c r="H54" s="31" t="str">
        <f>A54&amp;B54&amp;"-"&amp;C54&amp;"-"&amp;D54&amp;E54&amp;"-"&amp;F54</f>
        <v>6105AK137-6280-EDTL-0017</v>
      </c>
      <c r="I54" s="33" t="s">
        <v>344</v>
      </c>
      <c r="J54" s="33"/>
      <c r="K54" s="31" t="s">
        <v>345</v>
      </c>
      <c r="L54" s="136" t="s">
        <v>435</v>
      </c>
      <c r="M54" s="31" t="s">
        <v>354</v>
      </c>
      <c r="N54" s="136" t="str">
        <f>K54&amp;" - "&amp;L54&amp;" - "&amp;M54</f>
        <v>Medium Voltage (33 kV) Overhead Powerlines - Grounding towers - Details</v>
      </c>
      <c r="O54" s="114">
        <v>46048</v>
      </c>
      <c r="P54" s="114">
        <v>46064</v>
      </c>
      <c r="Q54" s="114"/>
      <c r="R54" s="132" t="str">
        <f>IF(I54="Approved","100%",
 IF(LEN(Q54)&gt;0,"66%",
 IF(LEN(P54)&gt;0,"33%",
 "0%")))</f>
        <v>33%</v>
      </c>
      <c r="S54" s="33"/>
      <c r="T54" s="33"/>
      <c r="U54" s="33"/>
      <c r="V54" s="33"/>
    </row>
    <row r="55" spans="1:22" ht="21" hidden="1" customHeight="1">
      <c r="A55" s="147" t="s">
        <v>338</v>
      </c>
      <c r="B55" s="147" t="s">
        <v>339</v>
      </c>
      <c r="C55" s="147">
        <v>6280</v>
      </c>
      <c r="D55" s="148" t="s">
        <v>7</v>
      </c>
      <c r="E55" s="148" t="s">
        <v>352</v>
      </c>
      <c r="F55" s="149" t="s">
        <v>436</v>
      </c>
      <c r="G55" s="147" t="s">
        <v>343</v>
      </c>
      <c r="H55" s="31" t="str">
        <f>A55&amp;B55&amp;"-"&amp;C55&amp;"-"&amp;D55&amp;E55&amp;"-"&amp;F55</f>
        <v>6105AK137-6280-EDTL-0018</v>
      </c>
      <c r="I55" s="152"/>
      <c r="J55" s="148"/>
      <c r="K55" s="147" t="s">
        <v>345</v>
      </c>
      <c r="L55" s="150" t="s">
        <v>437</v>
      </c>
      <c r="M55" s="147" t="s">
        <v>354</v>
      </c>
      <c r="N55" s="136" t="str">
        <f>K55&amp;" - "&amp;L55&amp;" - "&amp;M55</f>
        <v>Medium Voltage (33 kV) Overhead Powerlines - Ground devices bill - Details</v>
      </c>
      <c r="O55" s="151">
        <v>46052</v>
      </c>
      <c r="P55" s="151"/>
      <c r="Q55" s="151"/>
      <c r="R55" s="153" t="str">
        <f>IF(I55="Approved","100%",
 IF(LEN(Q55)&gt;0,"66%",
 IF(LEN(P55)&gt;0,"33%",
 "0%")))</f>
        <v>0%</v>
      </c>
      <c r="S55" s="152"/>
      <c r="T55" s="152"/>
      <c r="U55" s="152"/>
      <c r="V55" s="192" t="s">
        <v>438</v>
      </c>
    </row>
    <row r="56" spans="1:22" ht="21" hidden="1" customHeight="1">
      <c r="A56" s="31" t="s">
        <v>338</v>
      </c>
      <c r="B56" s="31" t="s">
        <v>339</v>
      </c>
      <c r="C56" s="31">
        <v>6280</v>
      </c>
      <c r="D56" s="33" t="s">
        <v>7</v>
      </c>
      <c r="E56" s="33" t="s">
        <v>439</v>
      </c>
      <c r="F56" s="110" t="s">
        <v>342</v>
      </c>
      <c r="G56" s="31" t="s">
        <v>343</v>
      </c>
      <c r="H56" s="31" t="str">
        <f>A56&amp;B56&amp;"-"&amp;C56&amp;"-"&amp;D56&amp;E56&amp;"-"&amp;F56</f>
        <v>6105AK137-6280-EEQL-0001</v>
      </c>
      <c r="I56" s="33" t="s">
        <v>344</v>
      </c>
      <c r="J56" s="33"/>
      <c r="K56" s="31" t="s">
        <v>345</v>
      </c>
      <c r="L56" s="136" t="s">
        <v>425</v>
      </c>
      <c r="M56" s="31" t="s">
        <v>440</v>
      </c>
      <c r="N56" s="136" t="str">
        <f>K56&amp;" - "&amp;L56&amp;" - "&amp;M56</f>
        <v>Medium Voltage (33 kV) Overhead Powerlines - Bill of insultor sets - Equipment List</v>
      </c>
      <c r="O56" s="114">
        <v>46052</v>
      </c>
      <c r="P56" s="114">
        <v>46063</v>
      </c>
      <c r="Q56" s="114"/>
      <c r="R56" s="132" t="str">
        <f>IF(I56="Approved","100%",
 IF(LEN(Q56)&gt;0,"66%",
 IF(LEN(P56)&gt;0,"33%",
 "0%")))</f>
        <v>33%</v>
      </c>
      <c r="S56" s="33"/>
      <c r="T56" s="33"/>
      <c r="U56" s="33"/>
      <c r="V56" s="31"/>
    </row>
    <row r="57" spans="1:22" ht="21" hidden="1" customHeight="1">
      <c r="A57" s="31" t="s">
        <v>338</v>
      </c>
      <c r="B57" s="31" t="s">
        <v>339</v>
      </c>
      <c r="C57" s="31">
        <v>6280</v>
      </c>
      <c r="D57" s="33" t="s">
        <v>7</v>
      </c>
      <c r="E57" s="33" t="s">
        <v>373</v>
      </c>
      <c r="F57" s="110" t="s">
        <v>342</v>
      </c>
      <c r="G57" s="31" t="s">
        <v>343</v>
      </c>
      <c r="H57" s="31" t="str">
        <f>A57&amp;B57&amp;"-"&amp;C57&amp;"-"&amp;D57&amp;E57&amp;"-"&amp;F57</f>
        <v>6105AK137-6280-EINS-0001</v>
      </c>
      <c r="I57" s="33" t="s">
        <v>367</v>
      </c>
      <c r="J57" s="33"/>
      <c r="K57" s="31" t="s">
        <v>345</v>
      </c>
      <c r="L57" s="136" t="s">
        <v>441</v>
      </c>
      <c r="M57" s="31" t="s">
        <v>375</v>
      </c>
      <c r="N57" s="136" t="str">
        <f>K57&amp;" - "&amp;L57&amp;" - "&amp;M57</f>
        <v>Medium Voltage (33 kV) Overhead Powerlines - Specifications for metal tower structures - Instructions</v>
      </c>
      <c r="O57" s="114">
        <v>46048</v>
      </c>
      <c r="P57" s="114">
        <v>46062</v>
      </c>
      <c r="Q57" s="114"/>
      <c r="R57" s="132" t="str">
        <f>IF(I57="Approved","100%",
 IF(LEN(Q57)&gt;0,"66%",
 IF(LEN(P57)&gt;0,"33%",
 "0%")))</f>
        <v>33%</v>
      </c>
      <c r="S57" s="33"/>
      <c r="T57" s="33"/>
      <c r="U57" s="33"/>
      <c r="V57" s="31"/>
    </row>
    <row r="58" spans="1:22" ht="21" hidden="1" customHeight="1">
      <c r="A58" s="31" t="s">
        <v>338</v>
      </c>
      <c r="B58" s="31" t="s">
        <v>339</v>
      </c>
      <c r="C58" s="31">
        <v>6280</v>
      </c>
      <c r="D58" s="33" t="s">
        <v>7</v>
      </c>
      <c r="E58" s="33" t="s">
        <v>442</v>
      </c>
      <c r="F58" s="110" t="s">
        <v>342</v>
      </c>
      <c r="G58" s="31" t="s">
        <v>443</v>
      </c>
      <c r="H58" s="31" t="str">
        <f>A58&amp;B58&amp;"-"&amp;C58&amp;"-"&amp;D58&amp;E58&amp;"-"&amp;F58</f>
        <v>6105AK137-6280-ELAY-0001</v>
      </c>
      <c r="I58" s="33" t="s">
        <v>367</v>
      </c>
      <c r="J58" s="33"/>
      <c r="K58" s="31" t="s">
        <v>345</v>
      </c>
      <c r="L58" s="162" t="s">
        <v>444</v>
      </c>
      <c r="M58" s="31" t="s">
        <v>445</v>
      </c>
      <c r="N58" s="136" t="str">
        <f>K58&amp;" - "&amp;L58&amp;" - "&amp;M58</f>
        <v>Medium Voltage (33 kV) Overhead Powerlines - Tower location profile of 33 kV OHL No. 1 - Layout</v>
      </c>
      <c r="O58" s="114">
        <v>46174</v>
      </c>
      <c r="P58" s="114">
        <v>46176</v>
      </c>
      <c r="Q58" s="114"/>
      <c r="R58" s="132" t="str">
        <f>IF(I58="Approved","100%",
 IF(LEN(Q58)&gt;0,"66%",
 IF(LEN(P58)&gt;0,"33%",
 "0%")))</f>
        <v>33%</v>
      </c>
      <c r="S58" s="33"/>
      <c r="T58" s="33"/>
      <c r="U58" s="33"/>
      <c r="V58" s="140" t="s">
        <v>446</v>
      </c>
    </row>
    <row r="59" spans="1:22" ht="21" hidden="1" customHeight="1">
      <c r="A59" s="31" t="s">
        <v>338</v>
      </c>
      <c r="B59" s="31" t="s">
        <v>339</v>
      </c>
      <c r="C59" s="31">
        <v>6280</v>
      </c>
      <c r="D59" s="33" t="s">
        <v>7</v>
      </c>
      <c r="E59" s="33" t="s">
        <v>442</v>
      </c>
      <c r="F59" s="110" t="s">
        <v>348</v>
      </c>
      <c r="G59" s="31" t="s">
        <v>443</v>
      </c>
      <c r="H59" s="31" t="str">
        <f>A59&amp;B59&amp;"-"&amp;C59&amp;"-"&amp;D59&amp;E59&amp;"-"&amp;F59</f>
        <v>6105AK137-6280-ELAY-0002</v>
      </c>
      <c r="I59" s="33" t="s">
        <v>344</v>
      </c>
      <c r="J59" s="33"/>
      <c r="K59" s="31" t="s">
        <v>345</v>
      </c>
      <c r="L59" s="162" t="s">
        <v>447</v>
      </c>
      <c r="M59" s="31" t="s">
        <v>445</v>
      </c>
      <c r="N59" s="136" t="str">
        <f>K59&amp;" - "&amp;L59&amp;" - "&amp;M59</f>
        <v>Medium Voltage (33 kV) Overhead Powerlines - Tower location profile of 33 kV OHL No. 2 - Layout</v>
      </c>
      <c r="O59" s="114">
        <v>46174</v>
      </c>
      <c r="P59" s="114">
        <v>46176</v>
      </c>
      <c r="Q59" s="114"/>
      <c r="R59" s="132" t="str">
        <f>IF(I59="Approved","100%",
 IF(LEN(Q59)&gt;0,"66%",
 IF(LEN(P59)&gt;0,"33%",
 "0%")))</f>
        <v>33%</v>
      </c>
      <c r="S59" s="33"/>
      <c r="T59" s="33"/>
      <c r="U59" s="33"/>
      <c r="V59" s="31"/>
    </row>
    <row r="60" spans="1:22" ht="21" hidden="1" customHeight="1">
      <c r="A60" s="31" t="s">
        <v>338</v>
      </c>
      <c r="B60" s="31" t="s">
        <v>339</v>
      </c>
      <c r="C60" s="31">
        <v>6280</v>
      </c>
      <c r="D60" s="33" t="s">
        <v>7</v>
      </c>
      <c r="E60" s="33" t="s">
        <v>442</v>
      </c>
      <c r="F60" s="110" t="s">
        <v>355</v>
      </c>
      <c r="G60" s="31" t="s">
        <v>343</v>
      </c>
      <c r="H60" s="31" t="str">
        <f>A60&amp;B60&amp;"-"&amp;C60&amp;"-"&amp;D60&amp;E60&amp;"-"&amp;F60</f>
        <v>6105AK137-6280-ELAY-0003</v>
      </c>
      <c r="I60" s="33"/>
      <c r="J60" s="33"/>
      <c r="K60" s="31" t="s">
        <v>345</v>
      </c>
      <c r="L60" s="136" t="s">
        <v>448</v>
      </c>
      <c r="M60" s="31" t="s">
        <v>445</v>
      </c>
      <c r="N60" s="136" t="str">
        <f>K60&amp;" - "&amp;L60&amp;" - "&amp;M60</f>
        <v>Medium Voltage (33 kV) Overhead Powerlines - Crossings (Layouts and Profiles) - Layout</v>
      </c>
      <c r="O60" s="190" t="s">
        <v>421</v>
      </c>
      <c r="P60" s="114"/>
      <c r="Q60" s="114"/>
      <c r="R60" s="132" t="str">
        <f>IF(I60="Approved","100%",
 IF(LEN(Q60)&gt;0,"66%",
 IF(LEN(P60)&gt;0,"33%",
 "0%")))</f>
        <v>0%</v>
      </c>
      <c r="S60" s="33"/>
      <c r="T60" s="33"/>
      <c r="U60" s="33"/>
      <c r="V60" s="31"/>
    </row>
    <row r="61" spans="1:22" ht="21" hidden="1" customHeight="1">
      <c r="A61" s="31" t="s">
        <v>338</v>
      </c>
      <c r="B61" s="31" t="s">
        <v>339</v>
      </c>
      <c r="C61" s="31">
        <v>6280</v>
      </c>
      <c r="D61" s="33" t="s">
        <v>7</v>
      </c>
      <c r="E61" s="33" t="s">
        <v>442</v>
      </c>
      <c r="F61" s="110" t="s">
        <v>358</v>
      </c>
      <c r="G61" s="31" t="s">
        <v>443</v>
      </c>
      <c r="H61" s="31" t="str">
        <f>A61&amp;B61&amp;"-"&amp;C61&amp;"-"&amp;D61&amp;E61&amp;"-"&amp;F61</f>
        <v>6105AK137-6280-ELAY-0005</v>
      </c>
      <c r="I61" s="33" t="s">
        <v>344</v>
      </c>
      <c r="J61" s="33"/>
      <c r="K61" s="31" t="s">
        <v>345</v>
      </c>
      <c r="L61" s="136" t="s">
        <v>449</v>
      </c>
      <c r="M61" s="31" t="s">
        <v>445</v>
      </c>
      <c r="N61" s="136" t="str">
        <f>K61&amp;" - "&amp;L61&amp;" - "&amp;M61</f>
        <v>Medium Voltage (33 kV) Overhead Powerlines -  33 kV OHL routing - Layout</v>
      </c>
      <c r="O61" s="189">
        <v>46174</v>
      </c>
      <c r="P61" s="114">
        <v>46176</v>
      </c>
      <c r="Q61" s="114"/>
      <c r="R61" s="132" t="str">
        <f>IF(I61="Approved","100%",
 IF(LEN(Q61)&gt;0,"66%",
 IF(LEN(P61)&gt;0,"33%",
 "0%")))</f>
        <v>33%</v>
      </c>
      <c r="S61" s="33"/>
      <c r="T61" s="33"/>
      <c r="U61" s="33"/>
      <c r="V61" s="31"/>
    </row>
    <row r="62" spans="1:22" ht="21" hidden="1" customHeight="1">
      <c r="A62" s="31" t="s">
        <v>338</v>
      </c>
      <c r="B62" s="31" t="s">
        <v>339</v>
      </c>
      <c r="C62" s="31">
        <v>6286</v>
      </c>
      <c r="D62" s="33" t="s">
        <v>340</v>
      </c>
      <c r="E62" s="33" t="s">
        <v>450</v>
      </c>
      <c r="F62" s="110" t="s">
        <v>342</v>
      </c>
      <c r="G62" s="31" t="s">
        <v>343</v>
      </c>
      <c r="H62" s="31" t="str">
        <f>A62&amp;B62&amp;"-"&amp;C62&amp;"-"&amp;D62&amp;E62&amp;"-"&amp;F62</f>
        <v>6105AK137-6286-CDTA-0001</v>
      </c>
      <c r="I62" s="33"/>
      <c r="J62" s="33"/>
      <c r="K62" s="31" t="s">
        <v>416</v>
      </c>
      <c r="L62" s="136" t="s">
        <v>451</v>
      </c>
      <c r="M62" s="31" t="s">
        <v>452</v>
      </c>
      <c r="N62" s="136" t="str">
        <f>K62&amp;" - "&amp;L62&amp;" - "&amp;M62</f>
        <v>Mining Open Pit - General Notes on the List of Towers and Foundations - Data</v>
      </c>
      <c r="O62" s="176">
        <v>46145</v>
      </c>
      <c r="P62" s="114"/>
      <c r="Q62" s="114"/>
      <c r="R62" s="132" t="str">
        <f>IF(I62="Approved","100%",
 IF(LEN(Q62)&gt;0,"66%",
 IF(LEN(P62)&gt;0,"33%",
 "0%")))</f>
        <v>0%</v>
      </c>
      <c r="S62" s="33"/>
      <c r="T62" s="33"/>
      <c r="U62" s="33"/>
      <c r="V62" s="31"/>
    </row>
    <row r="63" spans="1:22" ht="21" hidden="1" customHeight="1">
      <c r="A63" s="31" t="s">
        <v>338</v>
      </c>
      <c r="B63" s="31" t="s">
        <v>339</v>
      </c>
      <c r="C63" s="31">
        <v>6280</v>
      </c>
      <c r="D63" s="33" t="s">
        <v>7</v>
      </c>
      <c r="E63" s="33" t="s">
        <v>442</v>
      </c>
      <c r="F63" s="110" t="s">
        <v>387</v>
      </c>
      <c r="G63" s="31" t="s">
        <v>343</v>
      </c>
      <c r="H63" s="31" t="str">
        <f>A63&amp;B63&amp;"-"&amp;C63&amp;"-"&amp;D63&amp;E63&amp;"-"&amp;F63</f>
        <v>6105AK137-6280-ELAY-0006</v>
      </c>
      <c r="I63" s="33"/>
      <c r="J63" s="33"/>
      <c r="K63" s="31" t="s">
        <v>345</v>
      </c>
      <c r="L63" s="164" t="s">
        <v>453</v>
      </c>
      <c r="M63" s="31" t="s">
        <v>445</v>
      </c>
      <c r="N63" s="136" t="str">
        <f>K63&amp;" - "&amp;L63&amp;" - "&amp;M63</f>
        <v>Medium Voltage (33 kV) Overhead Powerlines - Bill of crossings - Layout</v>
      </c>
      <c r="O63" s="174" t="s">
        <v>421</v>
      </c>
      <c r="P63" s="112"/>
      <c r="Q63" s="114"/>
      <c r="R63" s="132" t="str">
        <f>IF(I63="Approved","100%",
 IF(LEN(Q63)&gt;0,"66%",
 IF(LEN(P63)&gt;0,"33%",
 "0%")))</f>
        <v>0%</v>
      </c>
      <c r="S63" s="33"/>
      <c r="T63" s="33"/>
      <c r="U63" s="33"/>
      <c r="V63" s="31"/>
    </row>
    <row r="64" spans="1:22" ht="21" hidden="1" customHeight="1">
      <c r="A64" s="31" t="s">
        <v>338</v>
      </c>
      <c r="B64" s="31" t="s">
        <v>339</v>
      </c>
      <c r="C64" s="31">
        <v>6286</v>
      </c>
      <c r="D64" s="33" t="s">
        <v>340</v>
      </c>
      <c r="E64" s="33" t="s">
        <v>352</v>
      </c>
      <c r="F64" s="110" t="s">
        <v>350</v>
      </c>
      <c r="G64" s="31" t="s">
        <v>343</v>
      </c>
      <c r="H64" s="31" t="str">
        <f>A64&amp;B64&amp;"-"&amp;C64&amp;"-"&amp;D64&amp;E64&amp;"-"&amp;F64</f>
        <v>6105AK137-6286-CDTL-0004</v>
      </c>
      <c r="I64" s="33"/>
      <c r="J64" s="33"/>
      <c r="K64" s="31" t="s">
        <v>416</v>
      </c>
      <c r="L64" s="136" t="s">
        <v>454</v>
      </c>
      <c r="M64" s="31" t="s">
        <v>354</v>
      </c>
      <c r="N64" s="136" t="str">
        <f>K64&amp;" - "&amp;L64&amp;" - "&amp;M64</f>
        <v>Mining Open Pit - Foundation Installation Drawing for 11 kV Intermediate Towers - Details</v>
      </c>
      <c r="O64" s="176">
        <v>46176</v>
      </c>
      <c r="P64" s="114"/>
      <c r="Q64" s="114"/>
      <c r="R64" s="132" t="str">
        <f>IF(I64="Approved","100%",
 IF(LEN(Q64)&gt;0,"66%",
 IF(LEN(P64)&gt;0,"33%",
 "0%")))</f>
        <v>0%</v>
      </c>
      <c r="S64" s="33"/>
      <c r="T64" s="33"/>
      <c r="U64" s="33"/>
      <c r="V64" s="31"/>
    </row>
    <row r="65" spans="1:22" ht="21" hidden="1" customHeight="1">
      <c r="A65" s="31" t="s">
        <v>338</v>
      </c>
      <c r="B65" s="31" t="s">
        <v>339</v>
      </c>
      <c r="C65" s="31">
        <v>6286</v>
      </c>
      <c r="D65" s="33" t="s">
        <v>340</v>
      </c>
      <c r="E65" s="163" t="s">
        <v>352</v>
      </c>
      <c r="F65" s="110" t="s">
        <v>358</v>
      </c>
      <c r="G65" s="31" t="s">
        <v>343</v>
      </c>
      <c r="H65" s="31" t="str">
        <f>A65&amp;B65&amp;"-"&amp;C65&amp;"-"&amp;D65&amp;E65&amp;"-"&amp;F65</f>
        <v>6105AK137-6286-CDTL-0005</v>
      </c>
      <c r="I65" s="109"/>
      <c r="J65" s="33"/>
      <c r="K65" s="31" t="s">
        <v>416</v>
      </c>
      <c r="L65" s="136" t="s">
        <v>455</v>
      </c>
      <c r="M65" s="31" t="s">
        <v>354</v>
      </c>
      <c r="N65" s="136" t="str">
        <f>K65&amp;" - "&amp;L65&amp;" - "&amp;M65</f>
        <v>Mining Open Pit - Corrosion protection - Details</v>
      </c>
      <c r="O65" s="176">
        <v>46145</v>
      </c>
      <c r="P65" s="115"/>
      <c r="Q65" s="115"/>
      <c r="R65" s="132" t="str">
        <f>IF(I65="Approved","100%",
 IF(LEN(Q65)&gt;0,"66%",
 IF(LEN(P65)&gt;0,"33%",
 "0%")))</f>
        <v>0%</v>
      </c>
      <c r="S65" s="109"/>
      <c r="T65" s="109"/>
      <c r="U65" s="109"/>
      <c r="V65" s="109"/>
    </row>
    <row r="66" spans="1:22" ht="21" hidden="1" customHeight="1">
      <c r="A66" s="31" t="s">
        <v>338</v>
      </c>
      <c r="B66" s="31" t="s">
        <v>339</v>
      </c>
      <c r="C66" s="31">
        <v>6286</v>
      </c>
      <c r="D66" s="33" t="s">
        <v>340</v>
      </c>
      <c r="E66" s="33" t="s">
        <v>360</v>
      </c>
      <c r="F66" s="110" t="s">
        <v>342</v>
      </c>
      <c r="G66" s="31" t="s">
        <v>343</v>
      </c>
      <c r="H66" s="31" t="str">
        <f>A66&amp;B66&amp;"-"&amp;C66&amp;"-"&amp;D66&amp;E66&amp;"-"&amp;F66</f>
        <v>6105AK137-6286-CFND-0001</v>
      </c>
      <c r="I66" s="33" t="s">
        <v>344</v>
      </c>
      <c r="J66" s="33"/>
      <c r="K66" s="31" t="s">
        <v>416</v>
      </c>
      <c r="L66" s="136" t="s">
        <v>366</v>
      </c>
      <c r="M66" s="31" t="s">
        <v>362</v>
      </c>
      <c r="N66" s="136" t="str">
        <f>K66&amp;" - "&amp;L66&amp;" - "&amp;M66</f>
        <v>Mining Open Pit - Anchor tower foundation installation - Foundation drawings</v>
      </c>
      <c r="O66" s="114">
        <v>46048</v>
      </c>
      <c r="P66" s="114">
        <v>46070</v>
      </c>
      <c r="Q66" s="114"/>
      <c r="R66" s="132" t="str">
        <f>IF(I66="Approved","100%",
 IF(LEN(Q66)&gt;0,"66%",
 IF(LEN(P66)&gt;0,"33%",
 "0%")))</f>
        <v>33%</v>
      </c>
      <c r="S66" s="33"/>
      <c r="T66" s="33"/>
      <c r="U66" s="33"/>
      <c r="V66" s="33"/>
    </row>
    <row r="67" spans="1:22" ht="21" hidden="1" customHeight="1">
      <c r="A67" s="31" t="s">
        <v>338</v>
      </c>
      <c r="B67" s="31" t="s">
        <v>339</v>
      </c>
      <c r="C67" s="31">
        <v>6286</v>
      </c>
      <c r="D67" s="33" t="s">
        <v>340</v>
      </c>
      <c r="E67" s="33" t="s">
        <v>360</v>
      </c>
      <c r="F67" s="110" t="s">
        <v>348</v>
      </c>
      <c r="G67" s="31" t="s">
        <v>343</v>
      </c>
      <c r="H67" s="31" t="str">
        <f>A67&amp;B67&amp;"-"&amp;C67&amp;"-"&amp;D67&amp;E67&amp;"-"&amp;F67</f>
        <v>6105AK137-6286-CFND-0002</v>
      </c>
      <c r="I67" s="33" t="s">
        <v>344</v>
      </c>
      <c r="J67" s="33"/>
      <c r="K67" s="31" t="s">
        <v>416</v>
      </c>
      <c r="L67" s="136" t="s">
        <v>368</v>
      </c>
      <c r="M67" s="31" t="s">
        <v>362</v>
      </c>
      <c r="N67" s="136" t="str">
        <f>K67&amp;" - "&amp;L67&amp;" - "&amp;M67</f>
        <v>Mining Open Pit - Intermediate tower foundation installation - Foundation drawings</v>
      </c>
      <c r="O67" s="114">
        <v>46048</v>
      </c>
      <c r="P67" s="114">
        <v>46070</v>
      </c>
      <c r="Q67" s="114"/>
      <c r="R67" s="132" t="str">
        <f>IF(I67="Approved","100%",
 IF(LEN(Q67)&gt;0,"66%",
 IF(LEN(P67)&gt;0,"33%",
 "0%")))</f>
        <v>33%</v>
      </c>
      <c r="S67" s="33"/>
      <c r="T67" s="33"/>
      <c r="U67" s="33"/>
      <c r="V67" s="33"/>
    </row>
    <row r="68" spans="1:22" ht="21" hidden="1" customHeight="1">
      <c r="A68" s="31" t="s">
        <v>338</v>
      </c>
      <c r="B68" s="31" t="s">
        <v>339</v>
      </c>
      <c r="C68" s="31">
        <v>6280</v>
      </c>
      <c r="D68" s="33" t="s">
        <v>7</v>
      </c>
      <c r="E68" s="33" t="s">
        <v>456</v>
      </c>
      <c r="F68" s="110" t="s">
        <v>342</v>
      </c>
      <c r="G68" s="31" t="s">
        <v>4</v>
      </c>
      <c r="H68" s="31" t="str">
        <f>A68&amp;B68&amp;"-"&amp;C68&amp;"-"&amp;D68&amp;E68&amp;"-"&amp;F68</f>
        <v>6105AK137-6280-ESLD-0001</v>
      </c>
      <c r="I68" s="33" t="s">
        <v>367</v>
      </c>
      <c r="J68" s="33"/>
      <c r="K68" s="31" t="s">
        <v>345</v>
      </c>
      <c r="L68" s="175" t="s">
        <v>457</v>
      </c>
      <c r="M68" s="31" t="s">
        <v>458</v>
      </c>
      <c r="N68" s="136" t="str">
        <f>K68&amp;" - "&amp;L68&amp;" - "&amp;M68</f>
        <v>Medium Voltage (33 kV) Overhead Powerlines - OPGW termination and installation of splicing box  - Single Line Diagram</v>
      </c>
      <c r="O68" s="114">
        <v>46070</v>
      </c>
      <c r="P68" s="114">
        <v>46120</v>
      </c>
      <c r="Q68" s="114"/>
      <c r="R68" s="132" t="str">
        <f>IF(I68="Approved","100%",
 IF(LEN(Q68)&gt;0,"66%",
 IF(LEN(P68)&gt;0,"33%",
 "0%")))</f>
        <v>33%</v>
      </c>
      <c r="S68" s="33"/>
      <c r="T68" s="33"/>
      <c r="U68" s="33"/>
      <c r="V68" s="33"/>
    </row>
    <row r="69" spans="1:22" ht="21" hidden="1" customHeight="1">
      <c r="A69" s="31" t="s">
        <v>338</v>
      </c>
      <c r="B69" s="31" t="s">
        <v>339</v>
      </c>
      <c r="C69" s="31">
        <v>6280</v>
      </c>
      <c r="D69" s="33" t="s">
        <v>7</v>
      </c>
      <c r="E69" s="33" t="s">
        <v>377</v>
      </c>
      <c r="F69" s="110" t="s">
        <v>342</v>
      </c>
      <c r="G69" s="31" t="s">
        <v>343</v>
      </c>
      <c r="H69" s="31" t="str">
        <f>A69&amp;B69&amp;"-"&amp;C69&amp;"-"&amp;D69&amp;E69&amp;"-"&amp;F69</f>
        <v>6105AK137-6280-ESPC-0001</v>
      </c>
      <c r="I69" s="33"/>
      <c r="J69" s="33"/>
      <c r="K69" s="31" t="s">
        <v>345</v>
      </c>
      <c r="L69" s="136" t="s">
        <v>459</v>
      </c>
      <c r="M69" s="31" t="s">
        <v>379</v>
      </c>
      <c r="N69" s="136" t="str">
        <f>K69&amp;" - "&amp;L69&amp;" - "&amp;M69</f>
        <v>Medium Voltage (33 kV) Overhead Powerlines - Bill of mouting works - Specification</v>
      </c>
      <c r="O69" s="189">
        <v>46076</v>
      </c>
      <c r="P69" s="114"/>
      <c r="Q69" s="114"/>
      <c r="R69" s="132" t="str">
        <f>IF(I69="Approved","100%",
 IF(LEN(Q69)&gt;0,"66%",
 IF(LEN(P69)&gt;0,"33%",
 "0%")))</f>
        <v>0%</v>
      </c>
      <c r="S69" s="33"/>
      <c r="T69" s="33"/>
      <c r="U69" s="33"/>
      <c r="V69" s="33"/>
    </row>
    <row r="70" spans="1:22" ht="21" hidden="1" customHeight="1">
      <c r="A70" s="31" t="s">
        <v>338</v>
      </c>
      <c r="B70" s="31" t="s">
        <v>339</v>
      </c>
      <c r="C70" s="31">
        <v>6280</v>
      </c>
      <c r="D70" s="33" t="s">
        <v>143</v>
      </c>
      <c r="E70" s="33" t="s">
        <v>450</v>
      </c>
      <c r="F70" s="110" t="s">
        <v>342</v>
      </c>
      <c r="G70" s="31" t="s">
        <v>343</v>
      </c>
      <c r="H70" s="31" t="str">
        <f>A70&amp;B70&amp;"-"&amp;C70&amp;"-"&amp;D70&amp;E70&amp;"-"&amp;F70</f>
        <v>6105AK137-6280-GDTA-0001</v>
      </c>
      <c r="I70" s="33"/>
      <c r="J70" s="33"/>
      <c r="K70" s="31" t="s">
        <v>345</v>
      </c>
      <c r="L70" s="136" t="s">
        <v>460</v>
      </c>
      <c r="M70" s="31" t="s">
        <v>452</v>
      </c>
      <c r="N70" s="136" t="str">
        <f>K70&amp;" - "&amp;L70&amp;" - "&amp;M70</f>
        <v>Medium Voltage (33 kV) Overhead Powerlines - Orevall - Data</v>
      </c>
      <c r="O70" s="189">
        <v>46080</v>
      </c>
      <c r="P70" s="114"/>
      <c r="Q70" s="114"/>
      <c r="R70" s="132" t="str">
        <f>IF(I70="Approved","100%",
 IF(LEN(Q70)&gt;0,"66%",
 IF(LEN(P70)&gt;0,"33%",
 "0%")))</f>
        <v>0%</v>
      </c>
      <c r="S70" s="33"/>
      <c r="T70" s="33"/>
      <c r="U70" s="33"/>
      <c r="V70" s="33"/>
    </row>
    <row r="71" spans="1:22" ht="21" hidden="1" customHeight="1">
      <c r="A71" s="31" t="s">
        <v>338</v>
      </c>
      <c r="B71" s="31" t="s">
        <v>339</v>
      </c>
      <c r="C71" s="31">
        <v>6280</v>
      </c>
      <c r="D71" s="33" t="s">
        <v>143</v>
      </c>
      <c r="E71" s="33" t="s">
        <v>450</v>
      </c>
      <c r="F71" s="110" t="s">
        <v>348</v>
      </c>
      <c r="G71" s="31" t="s">
        <v>343</v>
      </c>
      <c r="H71" s="31" t="str">
        <f>A71&amp;B71&amp;"-"&amp;C71&amp;"-"&amp;D71&amp;E71&amp;"-"&amp;F71</f>
        <v>6105AK137-6280-GDTA-0002</v>
      </c>
      <c r="I71" s="33"/>
      <c r="J71" s="33"/>
      <c r="K71" s="31" t="s">
        <v>345</v>
      </c>
      <c r="L71" s="136" t="s">
        <v>451</v>
      </c>
      <c r="M71" s="31" t="s">
        <v>452</v>
      </c>
      <c r="N71" s="136" t="str">
        <f>K71&amp;" - "&amp;L71&amp;" - "&amp;M71</f>
        <v>Medium Voltage (33 kV) Overhead Powerlines - General Notes on the List of Towers and Foundations - Data</v>
      </c>
      <c r="O71" s="189">
        <v>46077</v>
      </c>
      <c r="P71" s="114"/>
      <c r="Q71" s="114"/>
      <c r="R71" s="132" t="str">
        <f>IF(I71="Approved","100%",
 IF(LEN(Q71)&gt;0,"66%",
 IF(LEN(P71)&gt;0,"33%",
 "0%")))</f>
        <v>0%</v>
      </c>
      <c r="S71" s="33"/>
      <c r="T71" s="33"/>
      <c r="U71" s="33"/>
      <c r="V71" s="33"/>
    </row>
    <row r="72" spans="1:22" ht="21" hidden="1" customHeight="1">
      <c r="A72" s="31" t="s">
        <v>338</v>
      </c>
      <c r="B72" s="31" t="s">
        <v>339</v>
      </c>
      <c r="C72" s="31">
        <v>6280</v>
      </c>
      <c r="D72" s="33" t="s">
        <v>143</v>
      </c>
      <c r="E72" s="33" t="s">
        <v>450</v>
      </c>
      <c r="F72" s="110" t="s">
        <v>355</v>
      </c>
      <c r="G72" s="31" t="s">
        <v>343</v>
      </c>
      <c r="H72" s="31" t="str">
        <f>A72&amp;B72&amp;"-"&amp;C72&amp;"-"&amp;D72&amp;E72&amp;"-"&amp;F72</f>
        <v>6105AK137-6280-GDTA-0003</v>
      </c>
      <c r="I72" s="33" t="s">
        <v>367</v>
      </c>
      <c r="J72" s="33"/>
      <c r="K72" s="31" t="s">
        <v>345</v>
      </c>
      <c r="L72" s="136" t="s">
        <v>461</v>
      </c>
      <c r="M72" s="31" t="s">
        <v>452</v>
      </c>
      <c r="N72" s="136" t="str">
        <f>K72&amp;" - "&amp;L72&amp;" - "&amp;M72</f>
        <v>Medium Voltage (33 kV) Overhead Powerlines - List of drawings - Data</v>
      </c>
      <c r="O72" s="114">
        <v>46044</v>
      </c>
      <c r="P72" s="114">
        <v>46062</v>
      </c>
      <c r="Q72" s="114"/>
      <c r="R72" s="132" t="str">
        <f>IF(I72="Approved","100%",
 IF(LEN(Q72)&gt;0,"66%",
 IF(LEN(P72)&gt;0,"33%",
 "0%")))</f>
        <v>33%</v>
      </c>
      <c r="S72" s="33"/>
      <c r="T72" s="33"/>
      <c r="U72" s="33"/>
      <c r="V72" s="33"/>
    </row>
    <row r="73" spans="1:22" ht="21" hidden="1" customHeight="1">
      <c r="A73" s="31" t="s">
        <v>338</v>
      </c>
      <c r="B73" s="31" t="s">
        <v>339</v>
      </c>
      <c r="C73" s="31">
        <v>6280</v>
      </c>
      <c r="D73" s="33" t="s">
        <v>143</v>
      </c>
      <c r="E73" s="33" t="s">
        <v>462</v>
      </c>
      <c r="F73" s="110" t="s">
        <v>342</v>
      </c>
      <c r="G73" s="31" t="s">
        <v>343</v>
      </c>
      <c r="H73" s="31" t="str">
        <f>A73&amp;B73&amp;"-"&amp;C73&amp;"-"&amp;D73&amp;E73&amp;"-"&amp;F73</f>
        <v>6105AK137-6280-GMTO-0001</v>
      </c>
      <c r="I73" s="33"/>
      <c r="J73" s="33"/>
      <c r="K73" s="31" t="s">
        <v>345</v>
      </c>
      <c r="L73" s="136" t="s">
        <v>463</v>
      </c>
      <c r="M73" s="31" t="s">
        <v>464</v>
      </c>
      <c r="N73" s="136" t="str">
        <f>K73&amp;" - "&amp;L73&amp;" - "&amp;M73</f>
        <v>Medium Voltage (33 kV) Overhead Powerlines - Detailed List of equipments - Material Take Off</v>
      </c>
      <c r="O73" s="189">
        <v>46079</v>
      </c>
      <c r="P73" s="114"/>
      <c r="Q73" s="114"/>
      <c r="R73" s="132" t="str">
        <f>IF(I73="Approved","100%",
 IF(LEN(Q73)&gt;0,"66%",
 IF(LEN(P73)&gt;0,"33%",
 "0%")))</f>
        <v>0%</v>
      </c>
      <c r="S73" s="33"/>
      <c r="T73" s="33"/>
      <c r="U73" s="33"/>
      <c r="V73" s="33"/>
    </row>
    <row r="74" spans="1:22" ht="21" hidden="1" customHeight="1">
      <c r="A74" s="140" t="s">
        <v>338</v>
      </c>
      <c r="B74" s="140" t="s">
        <v>339</v>
      </c>
      <c r="C74" s="140">
        <v>6286</v>
      </c>
      <c r="D74" s="141" t="s">
        <v>340</v>
      </c>
      <c r="E74" s="141" t="s">
        <v>369</v>
      </c>
      <c r="F74" s="142" t="s">
        <v>342</v>
      </c>
      <c r="G74" s="140" t="s">
        <v>4</v>
      </c>
      <c r="H74" s="31" t="str">
        <f>A74&amp;B74&amp;"-"&amp;C74&amp;"-"&amp;D74&amp;E74&amp;"-"&amp;F74</f>
        <v>6105AK137-6286-CIDX-0001</v>
      </c>
      <c r="I74" s="141" t="s">
        <v>344</v>
      </c>
      <c r="J74" s="141"/>
      <c r="K74" s="140" t="s">
        <v>416</v>
      </c>
      <c r="L74" s="144" t="s">
        <v>370</v>
      </c>
      <c r="M74" s="140" t="s">
        <v>371</v>
      </c>
      <c r="N74" s="136" t="str">
        <f>K74&amp;" - "&amp;L74&amp;" - "&amp;M74</f>
        <v>Mining Open Pit - Bill of tower and foundation installation - Index</v>
      </c>
      <c r="O74" s="160" t="s">
        <v>421</v>
      </c>
      <c r="P74" s="145">
        <v>46084</v>
      </c>
      <c r="Q74" s="145"/>
      <c r="R74" s="146" t="str">
        <f>IF(I74="Approved","100%",
 IF(LEN(Q74)&gt;0,"66%",
 IF(LEN(P74)&gt;0,"33%",
 "0%")))</f>
        <v>33%</v>
      </c>
      <c r="S74" s="141"/>
      <c r="T74" s="141"/>
      <c r="U74" s="141"/>
      <c r="V74" s="143" t="s">
        <v>465</v>
      </c>
    </row>
    <row r="75" spans="1:22" ht="21" hidden="1" customHeight="1">
      <c r="A75" s="31" t="s">
        <v>338</v>
      </c>
      <c r="B75" s="31" t="s">
        <v>339</v>
      </c>
      <c r="C75" s="31">
        <v>6286</v>
      </c>
      <c r="D75" s="33" t="s">
        <v>340</v>
      </c>
      <c r="E75" s="33" t="s">
        <v>373</v>
      </c>
      <c r="F75" s="110" t="s">
        <v>342</v>
      </c>
      <c r="G75" s="31" t="s">
        <v>343</v>
      </c>
      <c r="H75" s="31" t="str">
        <f>A75&amp;B75&amp;"-"&amp;C75&amp;"-"&amp;D75&amp;E75&amp;"-"&amp;F75</f>
        <v>6105AK137-6286-CINS-0001</v>
      </c>
      <c r="I75" s="33" t="s">
        <v>344</v>
      </c>
      <c r="J75" s="33"/>
      <c r="K75" s="31" t="s">
        <v>416</v>
      </c>
      <c r="L75" s="136" t="s">
        <v>374</v>
      </c>
      <c r="M75" s="31" t="s">
        <v>375</v>
      </c>
      <c r="N75" s="136" t="str">
        <f>K75&amp;" - "&amp;L75&amp;" - "&amp;M75</f>
        <v>Mining Open Pit - Notes to tower/foundation list - Instructions</v>
      </c>
      <c r="O75" s="114">
        <v>46052</v>
      </c>
      <c r="P75" s="114">
        <v>46070</v>
      </c>
      <c r="Q75" s="114"/>
      <c r="R75" s="132" t="str">
        <f>IF(I75="Approved","100%",
 IF(LEN(Q75)&gt;0,"66%",
 IF(LEN(P75)&gt;0,"33%",
 "0%")))</f>
        <v>33%</v>
      </c>
      <c r="S75" s="33"/>
      <c r="T75" s="33"/>
      <c r="U75" s="33"/>
      <c r="V75" s="33"/>
    </row>
    <row r="76" spans="1:22" ht="21" hidden="1" customHeight="1">
      <c r="A76" s="31" t="s">
        <v>338</v>
      </c>
      <c r="B76" s="31" t="s">
        <v>339</v>
      </c>
      <c r="C76" s="31">
        <v>6286</v>
      </c>
      <c r="D76" s="33" t="s">
        <v>340</v>
      </c>
      <c r="E76" s="33" t="s">
        <v>373</v>
      </c>
      <c r="F76" s="110" t="s">
        <v>348</v>
      </c>
      <c r="G76" s="31" t="s">
        <v>340</v>
      </c>
      <c r="H76" s="31" t="str">
        <f>A76&amp;B76&amp;"-"&amp;C76&amp;"-"&amp;D76&amp;E76&amp;"-"&amp;F76</f>
        <v>6105AK137-6286-CINS-0002</v>
      </c>
      <c r="I76" s="33" t="s">
        <v>344</v>
      </c>
      <c r="J76" s="33"/>
      <c r="K76" s="31" t="s">
        <v>416</v>
      </c>
      <c r="L76" s="136" t="s">
        <v>455</v>
      </c>
      <c r="M76" s="31" t="s">
        <v>375</v>
      </c>
      <c r="N76" s="136" t="str">
        <f>K76&amp;" - "&amp;L76&amp;" - "&amp;M76</f>
        <v>Mining Open Pit - Corrosion protection - Instructions</v>
      </c>
      <c r="O76" s="114">
        <v>46175</v>
      </c>
      <c r="P76" s="114">
        <v>46176</v>
      </c>
      <c r="Q76" s="114"/>
      <c r="R76" s="132" t="str">
        <f>IF(I76="Approved","100%",
 IF(LEN(Q76)&gt;0,"66%",
 IF(LEN(P76)&gt;0,"33%",
 "0%")))</f>
        <v>33%</v>
      </c>
      <c r="S76" s="33"/>
      <c r="T76" s="33"/>
      <c r="U76" s="33"/>
      <c r="V76" s="33"/>
    </row>
    <row r="77" spans="1:22" ht="21" hidden="1" customHeight="1">
      <c r="A77" s="31" t="s">
        <v>338</v>
      </c>
      <c r="B77" s="31" t="s">
        <v>339</v>
      </c>
      <c r="C77" s="31">
        <v>6286</v>
      </c>
      <c r="D77" s="33" t="s">
        <v>340</v>
      </c>
      <c r="E77" s="33" t="s">
        <v>380</v>
      </c>
      <c r="F77" s="110" t="s">
        <v>342</v>
      </c>
      <c r="G77" s="31" t="s">
        <v>343</v>
      </c>
      <c r="H77" s="31" t="str">
        <f>A77&amp;B77&amp;"-"&amp;C77&amp;"-"&amp;D77&amp;E77&amp;"-"&amp;F77</f>
        <v>6105AK137-6286-CSSD-0001</v>
      </c>
      <c r="I77" s="33" t="s">
        <v>367</v>
      </c>
      <c r="J77" s="33"/>
      <c r="K77" s="31" t="s">
        <v>416</v>
      </c>
      <c r="L77" s="136" t="s">
        <v>466</v>
      </c>
      <c r="M77" s="31" t="s">
        <v>382</v>
      </c>
      <c r="N77" s="136" t="str">
        <f>K77&amp;" - "&amp;L77&amp;" - "&amp;M77</f>
        <v>Mining Open Pit - Anchor tower specification type A11 - 1 - 24 - Structural Steel Drawings</v>
      </c>
      <c r="O77" s="114">
        <v>46052</v>
      </c>
      <c r="P77" s="114">
        <v>46071</v>
      </c>
      <c r="Q77" s="114"/>
      <c r="R77" s="132" t="str">
        <f>IF(I77="Approved","100%",
 IF(LEN(Q77)&gt;0,"66%",
 IF(LEN(P77)&gt;0,"33%",
 "0%")))</f>
        <v>33%</v>
      </c>
      <c r="S77" s="33"/>
      <c r="T77" s="33"/>
      <c r="U77" s="33"/>
      <c r="V77" s="33"/>
    </row>
    <row r="78" spans="1:22" ht="21" hidden="1" customHeight="1">
      <c r="A78" s="31" t="s">
        <v>338</v>
      </c>
      <c r="B78" s="31" t="s">
        <v>339</v>
      </c>
      <c r="C78" s="31">
        <v>6286</v>
      </c>
      <c r="D78" s="33" t="s">
        <v>340</v>
      </c>
      <c r="E78" s="33" t="s">
        <v>380</v>
      </c>
      <c r="F78" s="110" t="s">
        <v>348</v>
      </c>
      <c r="G78" s="31" t="s">
        <v>343</v>
      </c>
      <c r="H78" s="31" t="str">
        <f>A78&amp;B78&amp;"-"&amp;C78&amp;"-"&amp;D78&amp;E78&amp;"-"&amp;F78</f>
        <v>6105AK137-6286-CSSD-0002</v>
      </c>
      <c r="I78" s="33" t="s">
        <v>344</v>
      </c>
      <c r="J78" s="33"/>
      <c r="K78" s="31" t="s">
        <v>416</v>
      </c>
      <c r="L78" s="136" t="s">
        <v>467</v>
      </c>
      <c r="M78" s="31" t="s">
        <v>382</v>
      </c>
      <c r="N78" s="136" t="str">
        <f>K78&amp;" - "&amp;L78&amp;" - "&amp;M78</f>
        <v>Mining Open Pit - Intermediate tower specification type A11 - 1 - 21 - Structural Steel Drawings</v>
      </c>
      <c r="O78" s="114">
        <v>46052</v>
      </c>
      <c r="P78" s="114">
        <v>46071</v>
      </c>
      <c r="Q78" s="114"/>
      <c r="R78" s="132" t="str">
        <f>IF(I78="Approved","100%",
 IF(LEN(Q78)&gt;0,"66%",
 IF(LEN(P78)&gt;0,"33%",
 "0%")))</f>
        <v>33%</v>
      </c>
      <c r="S78" s="33"/>
      <c r="T78" s="33"/>
      <c r="U78" s="33"/>
      <c r="V78" s="33"/>
    </row>
    <row r="79" spans="1:22" ht="21" hidden="1" customHeight="1">
      <c r="A79" s="31" t="s">
        <v>338</v>
      </c>
      <c r="B79" s="31" t="s">
        <v>339</v>
      </c>
      <c r="C79" s="31">
        <v>6280</v>
      </c>
      <c r="D79" s="33" t="s">
        <v>143</v>
      </c>
      <c r="E79" s="33" t="s">
        <v>462</v>
      </c>
      <c r="F79" s="110" t="s">
        <v>348</v>
      </c>
      <c r="G79" s="31" t="s">
        <v>343</v>
      </c>
      <c r="H79" s="31" t="str">
        <f>A79&amp;B79&amp;"-"&amp;C79&amp;"-"&amp;D79&amp;E79&amp;"-"&amp;F79</f>
        <v>6105AK137-6280-GMTO-0002</v>
      </c>
      <c r="I79" s="33" t="s">
        <v>344</v>
      </c>
      <c r="J79" s="33"/>
      <c r="K79" s="31" t="s">
        <v>345</v>
      </c>
      <c r="L79" s="136" t="s">
        <v>468</v>
      </c>
      <c r="M79" s="31" t="s">
        <v>464</v>
      </c>
      <c r="N79" s="136" t="str">
        <f>K79&amp;" - "&amp;L79&amp;" - "&amp;M79</f>
        <v>Medium Voltage (33 kV) Overhead Powerlines - List of equipments - Material Take Off</v>
      </c>
      <c r="O79" s="189">
        <v>46044</v>
      </c>
      <c r="P79" s="114">
        <v>46092</v>
      </c>
      <c r="Q79" s="114"/>
      <c r="R79" s="132" t="str">
        <f>IF(I79="Approved","100%",
 IF(LEN(Q79)&gt;0,"66%",
 IF(LEN(P79)&gt;0,"33%",
 "0%")))</f>
        <v>33%</v>
      </c>
      <c r="S79" s="33"/>
      <c r="T79" s="33"/>
      <c r="U79" s="33"/>
      <c r="V79" s="33"/>
    </row>
    <row r="80" spans="1:22" ht="21" hidden="1" customHeight="1">
      <c r="A80" s="31" t="s">
        <v>338</v>
      </c>
      <c r="B80" s="31" t="s">
        <v>339</v>
      </c>
      <c r="C80" s="31">
        <v>6280</v>
      </c>
      <c r="D80" s="33" t="s">
        <v>143</v>
      </c>
      <c r="E80" s="33" t="s">
        <v>469</v>
      </c>
      <c r="F80" s="110" t="s">
        <v>342</v>
      </c>
      <c r="G80" s="31" t="s">
        <v>343</v>
      </c>
      <c r="H80" s="31" t="str">
        <f>A80&amp;B80&amp;"-"&amp;C80&amp;"-"&amp;D80&amp;E80&amp;"-"&amp;F80</f>
        <v>6105AK137-6280-GPLN-0001</v>
      </c>
      <c r="I80" s="33" t="s">
        <v>344</v>
      </c>
      <c r="J80" s="33"/>
      <c r="K80" s="31" t="s">
        <v>345</v>
      </c>
      <c r="L80" s="136" t="s">
        <v>470</v>
      </c>
      <c r="M80" s="31" t="s">
        <v>445</v>
      </c>
      <c r="N80" s="136" t="str">
        <f>K80&amp;" - "&amp;L80&amp;" - "&amp;M80</f>
        <v>Medium Voltage (33 kV) Overhead Powerlines - Key plan - Layout</v>
      </c>
      <c r="O80" s="189">
        <v>46044</v>
      </c>
      <c r="P80" s="114">
        <v>46073</v>
      </c>
      <c r="Q80" s="114"/>
      <c r="R80" s="132" t="str">
        <f>IF(I80="Approved","100%",
 IF(LEN(Q80)&gt;0,"66%",
 IF(LEN(P80)&gt;0,"33%",
 "0%")))</f>
        <v>33%</v>
      </c>
      <c r="S80" s="33"/>
      <c r="T80" s="33"/>
      <c r="U80" s="33"/>
      <c r="V80" s="33"/>
    </row>
    <row r="81" spans="1:22" ht="21" hidden="1" customHeight="1">
      <c r="A81" s="31" t="s">
        <v>338</v>
      </c>
      <c r="B81" s="31" t="s">
        <v>339</v>
      </c>
      <c r="C81" s="31">
        <v>6286</v>
      </c>
      <c r="D81" s="33" t="s">
        <v>340</v>
      </c>
      <c r="E81" s="33" t="s">
        <v>380</v>
      </c>
      <c r="F81" s="110" t="s">
        <v>358</v>
      </c>
      <c r="G81" s="31" t="s">
        <v>343</v>
      </c>
      <c r="H81" s="31" t="str">
        <f>A81&amp;B81&amp;"-"&amp;C81&amp;"-"&amp;D81&amp;E81&amp;"-"&amp;F81</f>
        <v>6105AK137-6286-CSSD-0005</v>
      </c>
      <c r="I81" s="33"/>
      <c r="J81" s="33"/>
      <c r="K81" s="31" t="s">
        <v>416</v>
      </c>
      <c r="L81" s="136" t="s">
        <v>388</v>
      </c>
      <c r="M81" s="31" t="s">
        <v>382</v>
      </c>
      <c r="N81" s="136" t="str">
        <f>K81&amp;" - "&amp;L81&amp;" - "&amp;M81</f>
        <v>Mining Open Pit - Technical conditions - technical requirements for steel towers - Structural Steel Drawings</v>
      </c>
      <c r="O81" s="176">
        <v>46176</v>
      </c>
      <c r="P81" s="114"/>
      <c r="Q81" s="114"/>
      <c r="R81" s="132" t="str">
        <f>IF(I81="Approved","100%",
 IF(LEN(Q81)&gt;0,"66%",
 IF(LEN(P81)&gt;0,"33%",
 "0%")))</f>
        <v>0%</v>
      </c>
      <c r="S81" s="33"/>
      <c r="T81" s="33"/>
      <c r="U81" s="33"/>
      <c r="V81" s="33"/>
    </row>
    <row r="82" spans="1:22" ht="21" hidden="1" customHeight="1">
      <c r="A82" s="140" t="s">
        <v>338</v>
      </c>
      <c r="B82" s="140" t="s">
        <v>339</v>
      </c>
      <c r="C82" s="140">
        <v>6286</v>
      </c>
      <c r="D82" s="141" t="s">
        <v>340</v>
      </c>
      <c r="E82" s="141" t="s">
        <v>380</v>
      </c>
      <c r="F82" s="142" t="s">
        <v>387</v>
      </c>
      <c r="G82" s="140" t="s">
        <v>343</v>
      </c>
      <c r="H82" s="31" t="str">
        <f>A82&amp;B82&amp;"-"&amp;C82&amp;"-"&amp;D82&amp;E82&amp;"-"&amp;F82</f>
        <v>6105AK137-6286-CSSD-0006</v>
      </c>
      <c r="I82" s="141" t="s">
        <v>344</v>
      </c>
      <c r="J82" s="141"/>
      <c r="K82" s="140" t="s">
        <v>416</v>
      </c>
      <c r="L82" s="144" t="s">
        <v>471</v>
      </c>
      <c r="M82" s="140" t="s">
        <v>382</v>
      </c>
      <c r="N82" s="136" t="str">
        <f>K82&amp;" - "&amp;L82&amp;" - "&amp;M82</f>
        <v>Mining Open Pit - Anchor tower specification type A11 - 1 - 12 - Structural Steel Drawings</v>
      </c>
      <c r="O82" s="165" t="s">
        <v>421</v>
      </c>
      <c r="P82" s="145">
        <v>46070</v>
      </c>
      <c r="Q82" s="145"/>
      <c r="R82" s="146" t="str">
        <f>IF(I82="Approved","100%",
 IF(LEN(Q82)&gt;0,"66%",
 IF(LEN(P82)&gt;0,"33%",
 "0%")))</f>
        <v>33%</v>
      </c>
      <c r="S82" s="141"/>
      <c r="T82" s="141"/>
      <c r="U82" s="141"/>
      <c r="V82" s="143" t="s">
        <v>465</v>
      </c>
    </row>
    <row r="83" spans="1:22" ht="21" hidden="1" customHeight="1">
      <c r="A83" s="31" t="s">
        <v>338</v>
      </c>
      <c r="B83" s="31" t="s">
        <v>339</v>
      </c>
      <c r="C83" s="31">
        <v>6286</v>
      </c>
      <c r="D83" s="33" t="s">
        <v>340</v>
      </c>
      <c r="E83" s="33" t="s">
        <v>380</v>
      </c>
      <c r="F83" s="110" t="s">
        <v>389</v>
      </c>
      <c r="G83" s="31" t="s">
        <v>343</v>
      </c>
      <c r="H83" s="31" t="str">
        <f>A83&amp;B83&amp;"-"&amp;C83&amp;"-"&amp;D83&amp;E83&amp;"-"&amp;F83</f>
        <v>6105AK137-6286-CSSD-0007</v>
      </c>
      <c r="I83" s="33" t="s">
        <v>344</v>
      </c>
      <c r="J83" s="33"/>
      <c r="K83" s="31" t="s">
        <v>416</v>
      </c>
      <c r="L83" s="136" t="s">
        <v>472</v>
      </c>
      <c r="M83" s="31" t="s">
        <v>473</v>
      </c>
      <c r="N83" s="136" t="str">
        <f>K83&amp;" - "&amp;L83&amp;" - "&amp;M83</f>
        <v>Mining Open Pit - Anchor tower specification type A11 - 2 - 12 - Structural Steel drawings</v>
      </c>
      <c r="O83" s="114">
        <v>46072</v>
      </c>
      <c r="P83" s="114">
        <v>46072</v>
      </c>
      <c r="Q83" s="114"/>
      <c r="R83" s="132" t="str">
        <f>IF(I83="Approved","100%",
 IF(LEN(Q83)&gt;0,"66%",
 IF(LEN(P83)&gt;0,"33%",
 "0%")))</f>
        <v>33%</v>
      </c>
      <c r="S83" s="33"/>
      <c r="T83" s="33"/>
      <c r="U83" s="33"/>
      <c r="V83" s="33"/>
    </row>
    <row r="84" spans="1:22" ht="21" hidden="1" customHeight="1">
      <c r="A84" s="31" t="s">
        <v>338</v>
      </c>
      <c r="B84" s="31" t="s">
        <v>339</v>
      </c>
      <c r="C84" s="31">
        <v>6286</v>
      </c>
      <c r="D84" s="33" t="s">
        <v>7</v>
      </c>
      <c r="E84" s="33" t="s">
        <v>341</v>
      </c>
      <c r="F84" s="110" t="s">
        <v>342</v>
      </c>
      <c r="G84" s="31" t="s">
        <v>340</v>
      </c>
      <c r="H84" s="31" t="str">
        <f>A84&amp;B84&amp;"-"&amp;C84&amp;"-"&amp;D84&amp;E84&amp;"-"&amp;F84</f>
        <v>6105AK137-6286-ECAL-0001</v>
      </c>
      <c r="I84" s="33" t="s">
        <v>344</v>
      </c>
      <c r="J84" s="33"/>
      <c r="K84" s="31" t="s">
        <v>416</v>
      </c>
      <c r="L84" s="136" t="s">
        <v>474</v>
      </c>
      <c r="M84" s="31" t="s">
        <v>347</v>
      </c>
      <c r="N84" s="136" t="str">
        <f>K84&amp;" - "&amp;L84&amp;" - "&amp;M84</f>
        <v>Mining Open Pit - 11 kV OHL - Calculation</v>
      </c>
      <c r="O84" s="114">
        <v>46048</v>
      </c>
      <c r="P84" s="114">
        <v>46070</v>
      </c>
      <c r="Q84" s="114"/>
      <c r="R84" s="132" t="str">
        <f>IF(I84="Approved","100%",
 IF(LEN(Q84)&gt;0,"66%",
 IF(LEN(P84)&gt;0,"33%",
 "0%")))</f>
        <v>33%</v>
      </c>
      <c r="S84" s="33"/>
      <c r="T84" s="33"/>
      <c r="U84" s="33"/>
      <c r="V84" s="33"/>
    </row>
    <row r="85" spans="1:22" ht="21" hidden="1" customHeight="1">
      <c r="A85" s="31" t="s">
        <v>338</v>
      </c>
      <c r="B85" s="31" t="s">
        <v>339</v>
      </c>
      <c r="C85" s="31">
        <v>6286</v>
      </c>
      <c r="D85" s="33" t="s">
        <v>7</v>
      </c>
      <c r="E85" s="33" t="s">
        <v>341</v>
      </c>
      <c r="F85" s="110" t="s">
        <v>348</v>
      </c>
      <c r="G85" s="31" t="s">
        <v>4</v>
      </c>
      <c r="H85" s="31" t="str">
        <f>A85&amp;B85&amp;"-"&amp;C85&amp;"-"&amp;D85&amp;E85&amp;"-"&amp;F85</f>
        <v>6105AK137-6286-ECAL-0002</v>
      </c>
      <c r="I85" s="33" t="s">
        <v>344</v>
      </c>
      <c r="J85" s="33"/>
      <c r="K85" s="31" t="s">
        <v>416</v>
      </c>
      <c r="L85" s="136" t="s">
        <v>475</v>
      </c>
      <c r="M85" s="31" t="s">
        <v>347</v>
      </c>
      <c r="N85" s="136" t="str">
        <f>K85&amp;" - "&amp;L85&amp;" - "&amp;M85</f>
        <v>Mining Open Pit - 11 kV OHL Sags table - Calculation</v>
      </c>
      <c r="O85" s="176">
        <v>46268</v>
      </c>
      <c r="P85" s="114">
        <v>46092</v>
      </c>
      <c r="Q85" s="114"/>
      <c r="R85" s="132" t="str">
        <f>IF(I85="Approved","100%",
 IF(LEN(Q85)&gt;0,"66%",
 IF(LEN(P85)&gt;0,"33%",
 "0%")))</f>
        <v>33%</v>
      </c>
      <c r="S85" s="33"/>
      <c r="T85" s="33"/>
      <c r="U85" s="33"/>
      <c r="V85" s="33"/>
    </row>
    <row r="86" spans="1:22" ht="21" hidden="1" customHeight="1">
      <c r="A86" s="31" t="s">
        <v>338</v>
      </c>
      <c r="B86" s="31" t="s">
        <v>339</v>
      </c>
      <c r="C86" s="31">
        <v>6286</v>
      </c>
      <c r="D86" s="33" t="s">
        <v>7</v>
      </c>
      <c r="E86" s="33" t="s">
        <v>352</v>
      </c>
      <c r="F86" s="110" t="s">
        <v>342</v>
      </c>
      <c r="G86" s="31">
        <v>0</v>
      </c>
      <c r="H86" s="31" t="str">
        <f>A86&amp;B86&amp;"-"&amp;C86&amp;"-"&amp;D86&amp;E86&amp;"-"&amp;F86</f>
        <v>6105AK137-6286-EDTL-0001</v>
      </c>
      <c r="I86" s="33" t="s">
        <v>428</v>
      </c>
      <c r="J86" s="33"/>
      <c r="K86" s="31" t="s">
        <v>416</v>
      </c>
      <c r="L86" s="136" t="s">
        <v>476</v>
      </c>
      <c r="M86" s="31" t="s">
        <v>354</v>
      </c>
      <c r="N86" s="136" t="str">
        <f>K86&amp;" - "&amp;L86&amp;" - "&amp;M86</f>
        <v>Mining Open Pit - Insulator set NP-1 of 11 kV OHL - Details</v>
      </c>
      <c r="O86" s="114">
        <v>46079</v>
      </c>
      <c r="P86" s="114">
        <v>46091</v>
      </c>
      <c r="Q86" s="114">
        <v>46098</v>
      </c>
      <c r="R86" s="132" t="str">
        <f>IF(I86="Approved","100%",
 IF(LEN(Q86)&gt;0,"66%",
 IF(LEN(P86)&gt;0,"33%",
 "0%")))</f>
        <v>66%</v>
      </c>
      <c r="S86" s="33"/>
      <c r="T86" s="33"/>
      <c r="U86" s="33"/>
      <c r="V86" s="33"/>
    </row>
    <row r="87" spans="1:22" ht="21" hidden="1" customHeight="1">
      <c r="A87" s="31" t="s">
        <v>338</v>
      </c>
      <c r="B87" s="31" t="s">
        <v>339</v>
      </c>
      <c r="C87" s="31">
        <v>6286</v>
      </c>
      <c r="D87" s="33" t="s">
        <v>7</v>
      </c>
      <c r="E87" s="33" t="s">
        <v>352</v>
      </c>
      <c r="F87" s="110" t="s">
        <v>348</v>
      </c>
      <c r="G87" s="31" t="s">
        <v>340</v>
      </c>
      <c r="H87" s="31" t="str">
        <f>A87&amp;B87&amp;"-"&amp;C87&amp;"-"&amp;D87&amp;E87&amp;"-"&amp;F87</f>
        <v>6105AK137-6286-EDTL-0002</v>
      </c>
      <c r="I87" s="33" t="s">
        <v>344</v>
      </c>
      <c r="J87" s="33"/>
      <c r="K87" s="31" t="s">
        <v>416</v>
      </c>
      <c r="L87" s="136" t="s">
        <v>477</v>
      </c>
      <c r="M87" s="31" t="s">
        <v>354</v>
      </c>
      <c r="N87" s="136" t="str">
        <f>K87&amp;" - "&amp;L87&amp;" - "&amp;M87</f>
        <v>Mining Open Pit - Insulator set PP-1 of 11 kV OHL - Details</v>
      </c>
      <c r="O87" s="114">
        <v>46048</v>
      </c>
      <c r="P87" s="114">
        <v>46157</v>
      </c>
      <c r="Q87" s="114"/>
      <c r="R87" s="132" t="str">
        <f>IF(I87="Approved","100%",
 IF(LEN(Q87)&gt;0,"66%",
 IF(LEN(P87)&gt;0,"33%",
 "0%")))</f>
        <v>33%</v>
      </c>
      <c r="S87" s="33"/>
      <c r="T87" s="33"/>
      <c r="U87" s="33"/>
      <c r="V87" s="33"/>
    </row>
    <row r="88" spans="1:22" ht="21" hidden="1" customHeight="1">
      <c r="A88" s="31" t="s">
        <v>338</v>
      </c>
      <c r="B88" s="31" t="s">
        <v>339</v>
      </c>
      <c r="C88" s="31">
        <v>6286</v>
      </c>
      <c r="D88" s="33" t="s">
        <v>7</v>
      </c>
      <c r="E88" s="33" t="s">
        <v>352</v>
      </c>
      <c r="F88" s="110" t="s">
        <v>350</v>
      </c>
      <c r="G88" s="31" t="s">
        <v>343</v>
      </c>
      <c r="H88" s="31" t="str">
        <f>A88&amp;B88&amp;"-"&amp;C88&amp;"-"&amp;D88&amp;E88&amp;"-"&amp;F88</f>
        <v>6105AK137-6286-EDTL-0004</v>
      </c>
      <c r="I88" s="33"/>
      <c r="J88" s="33"/>
      <c r="K88" s="31" t="s">
        <v>416</v>
      </c>
      <c r="L88" s="136" t="s">
        <v>478</v>
      </c>
      <c r="M88" s="31" t="s">
        <v>354</v>
      </c>
      <c r="N88" s="136" t="str">
        <f>K88&amp;" - "&amp;L88&amp;" - "&amp;M88</f>
        <v>Mining Open Pit - Conceptual Sags table - Details</v>
      </c>
      <c r="O88" s="114">
        <v>46079</v>
      </c>
      <c r="P88" s="114"/>
      <c r="Q88" s="114"/>
      <c r="R88" s="132" t="str">
        <f>IF(I88="Approved","100%",
 IF(LEN(Q88)&gt;0,"66%",
 IF(LEN(P88)&gt;0,"33%",
 "0%")))</f>
        <v>0%</v>
      </c>
      <c r="S88" s="33"/>
      <c r="T88" s="33"/>
      <c r="U88" s="33"/>
      <c r="V88" s="33"/>
    </row>
    <row r="89" spans="1:22" ht="21" hidden="1" customHeight="1">
      <c r="A89" s="31" t="s">
        <v>338</v>
      </c>
      <c r="B89" s="31" t="s">
        <v>339</v>
      </c>
      <c r="C89" s="31">
        <v>6286</v>
      </c>
      <c r="D89" s="33" t="s">
        <v>7</v>
      </c>
      <c r="E89" s="33" t="s">
        <v>352</v>
      </c>
      <c r="F89" s="110" t="s">
        <v>358</v>
      </c>
      <c r="G89" s="31" t="s">
        <v>343</v>
      </c>
      <c r="H89" s="31" t="str">
        <f>A89&amp;B89&amp;"-"&amp;C89&amp;"-"&amp;D89&amp;E89&amp;"-"&amp;F89</f>
        <v>6105AK137-6286-EDTL-0005</v>
      </c>
      <c r="I89" s="33" t="s">
        <v>344</v>
      </c>
      <c r="J89" s="33"/>
      <c r="K89" s="31" t="s">
        <v>416</v>
      </c>
      <c r="L89" s="136" t="s">
        <v>435</v>
      </c>
      <c r="M89" s="31" t="s">
        <v>354</v>
      </c>
      <c r="N89" s="136" t="str">
        <f>K89&amp;" - "&amp;L89&amp;" - "&amp;M89</f>
        <v>Mining Open Pit - Grounding towers - Details</v>
      </c>
      <c r="O89" s="114">
        <v>46048</v>
      </c>
      <c r="P89" s="114">
        <v>46071</v>
      </c>
      <c r="Q89" s="114"/>
      <c r="R89" s="132" t="str">
        <f>IF(I89="Approved","100%",
 IF(LEN(Q89)&gt;0,"66%",
 IF(LEN(P89)&gt;0,"33%",
 "0%")))</f>
        <v>33%</v>
      </c>
      <c r="S89" s="33"/>
      <c r="T89" s="33"/>
      <c r="U89" s="33"/>
      <c r="V89" s="33"/>
    </row>
    <row r="90" spans="1:22" ht="21" hidden="1" customHeight="1">
      <c r="A90" s="31" t="s">
        <v>338</v>
      </c>
      <c r="B90" s="31" t="s">
        <v>339</v>
      </c>
      <c r="C90" s="31">
        <v>6286</v>
      </c>
      <c r="D90" s="33" t="s">
        <v>7</v>
      </c>
      <c r="E90" s="33" t="s">
        <v>352</v>
      </c>
      <c r="F90" s="110" t="s">
        <v>387</v>
      </c>
      <c r="G90" s="31" t="s">
        <v>343</v>
      </c>
      <c r="H90" s="31" t="str">
        <f>A90&amp;B90&amp;"-"&amp;C90&amp;"-"&amp;D90&amp;E90&amp;"-"&amp;F90</f>
        <v>6105AK137-6286-EDTL-0006</v>
      </c>
      <c r="I90" s="33"/>
      <c r="J90" s="33"/>
      <c r="K90" s="31" t="s">
        <v>416</v>
      </c>
      <c r="L90" s="136" t="s">
        <v>479</v>
      </c>
      <c r="M90" s="31" t="s">
        <v>354</v>
      </c>
      <c r="N90" s="136" t="str">
        <f>K90&amp;" - "&amp;L90&amp;" - "&amp;M90</f>
        <v>Mining Open Pit - Concept Ground devices bill - Details</v>
      </c>
      <c r="O90" s="114">
        <v>46052</v>
      </c>
      <c r="P90" s="114"/>
      <c r="Q90" s="114"/>
      <c r="R90" s="132" t="str">
        <f>IF(I90="Approved","100%",
 IF(LEN(Q90)&gt;0,"66%",
 IF(LEN(P90)&gt;0,"33%",
 "0%")))</f>
        <v>0%</v>
      </c>
      <c r="S90" s="33"/>
      <c r="T90" s="33"/>
      <c r="U90" s="33"/>
      <c r="V90" s="33"/>
    </row>
    <row r="91" spans="1:22" ht="21" hidden="1" customHeight="1">
      <c r="A91" s="31" t="s">
        <v>338</v>
      </c>
      <c r="B91" s="31" t="s">
        <v>339</v>
      </c>
      <c r="C91" s="31">
        <v>6286</v>
      </c>
      <c r="D91" s="33" t="s">
        <v>7</v>
      </c>
      <c r="E91" s="33" t="s">
        <v>352</v>
      </c>
      <c r="F91" s="110" t="s">
        <v>389</v>
      </c>
      <c r="G91" s="31" t="s">
        <v>343</v>
      </c>
      <c r="H91" s="31" t="str">
        <f>A91&amp;B91&amp;"-"&amp;C91&amp;"-"&amp;D91&amp;E91&amp;"-"&amp;F91</f>
        <v>6105AK137-6286-EDTL-0007</v>
      </c>
      <c r="I91" s="33"/>
      <c r="J91" s="33"/>
      <c r="K91" s="31" t="s">
        <v>416</v>
      </c>
      <c r="L91" s="136" t="s">
        <v>480</v>
      </c>
      <c r="M91" s="31" t="s">
        <v>354</v>
      </c>
      <c r="N91" s="136" t="str">
        <f>K91&amp;" - "&amp;L91&amp;" - "&amp;M91</f>
        <v>Mining Open Pit - Technical conditions - technical requirements - Details</v>
      </c>
      <c r="O91" s="114">
        <v>46079</v>
      </c>
      <c r="P91" s="114"/>
      <c r="Q91" s="114"/>
      <c r="R91" s="132" t="str">
        <f>IF(I91="Approved","100%",
 IF(LEN(Q91)&gt;0,"66%",
 IF(LEN(P91)&gt;0,"33%",
 "0%")))</f>
        <v>0%</v>
      </c>
      <c r="S91" s="33"/>
      <c r="T91" s="33"/>
      <c r="U91" s="33"/>
      <c r="V91" s="33"/>
    </row>
    <row r="92" spans="1:22" ht="21" hidden="1" customHeight="1">
      <c r="A92" s="31" t="s">
        <v>338</v>
      </c>
      <c r="B92" s="31" t="s">
        <v>339</v>
      </c>
      <c r="C92" s="31">
        <v>6286</v>
      </c>
      <c r="D92" s="33" t="s">
        <v>7</v>
      </c>
      <c r="E92" s="33" t="s">
        <v>352</v>
      </c>
      <c r="F92" s="110" t="s">
        <v>391</v>
      </c>
      <c r="G92" s="31" t="s">
        <v>343</v>
      </c>
      <c r="H92" s="31" t="str">
        <f>A92&amp;B92&amp;"-"&amp;C92&amp;"-"&amp;D92&amp;E92&amp;"-"&amp;F92</f>
        <v>6105AK137-6286-EDTL-0008</v>
      </c>
      <c r="I92" s="33"/>
      <c r="J92" s="33"/>
      <c r="K92" s="31" t="s">
        <v>416</v>
      </c>
      <c r="L92" s="136" t="s">
        <v>481</v>
      </c>
      <c r="M92" s="31" t="s">
        <v>354</v>
      </c>
      <c r="N92" s="136" t="str">
        <f>K92&amp;" - "&amp;L92&amp;" - "&amp;M92</f>
        <v>Mining Open Pit - Data sheet of conductor - Details</v>
      </c>
      <c r="O92" s="114">
        <v>46079</v>
      </c>
      <c r="P92" s="114"/>
      <c r="Q92" s="114"/>
      <c r="R92" s="132" t="str">
        <f>IF(I92="Approved","100%",
 IF(LEN(Q92)&gt;0,"66%",
 IF(LEN(P92)&gt;0,"33%",
 "0%")))</f>
        <v>0%</v>
      </c>
      <c r="S92" s="33"/>
      <c r="T92" s="33"/>
      <c r="U92" s="33"/>
      <c r="V92" s="33"/>
    </row>
    <row r="93" spans="1:22" ht="21" hidden="1" customHeight="1">
      <c r="A93" s="31" t="s">
        <v>338</v>
      </c>
      <c r="B93" s="31" t="s">
        <v>339</v>
      </c>
      <c r="C93" s="31">
        <v>6286</v>
      </c>
      <c r="D93" s="33" t="s">
        <v>7</v>
      </c>
      <c r="E93" s="33" t="s">
        <v>352</v>
      </c>
      <c r="F93" s="110" t="s">
        <v>393</v>
      </c>
      <c r="G93" s="31" t="s">
        <v>343</v>
      </c>
      <c r="H93" s="31" t="str">
        <f>A93&amp;B93&amp;"-"&amp;C93&amp;"-"&amp;D93&amp;E93&amp;"-"&amp;F93</f>
        <v>6105AK137-6286-EDTL-0009</v>
      </c>
      <c r="I93" s="33"/>
      <c r="J93" s="33"/>
      <c r="K93" s="31" t="s">
        <v>416</v>
      </c>
      <c r="L93" s="136" t="s">
        <v>423</v>
      </c>
      <c r="M93" s="31" t="s">
        <v>354</v>
      </c>
      <c r="N93" s="136" t="str">
        <f>K93&amp;" - "&amp;L93&amp;" - "&amp;M93</f>
        <v>Mining Open Pit - Grounding connections to the towers - Details</v>
      </c>
      <c r="O93" s="176">
        <v>46115</v>
      </c>
      <c r="P93" s="159"/>
      <c r="Q93" s="114"/>
      <c r="R93" s="132" t="str">
        <f>IF(I93="Approved","100%",
 IF(LEN(Q93)&gt;0,"66%",
 IF(LEN(P93)&gt;0,"33%",
 "0%")))</f>
        <v>0%</v>
      </c>
      <c r="S93" s="33"/>
      <c r="T93" s="33"/>
      <c r="U93" s="33"/>
      <c r="V93" s="33"/>
    </row>
    <row r="94" spans="1:22" ht="21" hidden="1" customHeight="1">
      <c r="A94" s="31" t="s">
        <v>338</v>
      </c>
      <c r="B94" s="31" t="s">
        <v>339</v>
      </c>
      <c r="C94" s="31">
        <v>6286</v>
      </c>
      <c r="D94" s="33" t="s">
        <v>7</v>
      </c>
      <c r="E94" s="33" t="s">
        <v>352</v>
      </c>
      <c r="F94" s="110" t="s">
        <v>395</v>
      </c>
      <c r="G94" s="31" t="s">
        <v>343</v>
      </c>
      <c r="H94" s="31" t="str">
        <f>A94&amp;B94&amp;"-"&amp;C94&amp;"-"&amp;D94&amp;E94&amp;"-"&amp;F94</f>
        <v>6105AK137-6286-EDTL-0010</v>
      </c>
      <c r="I94" s="33"/>
      <c r="J94" s="33"/>
      <c r="K94" s="31" t="s">
        <v>416</v>
      </c>
      <c r="L94" s="136" t="s">
        <v>482</v>
      </c>
      <c r="M94" s="31" t="s">
        <v>354</v>
      </c>
      <c r="N94" s="136" t="str">
        <f>K94&amp;" - "&amp;L94&amp;" - "&amp;M94</f>
        <v>Mining Open Pit - Insulator set NP-1 (DD) - Details</v>
      </c>
      <c r="O94" s="176">
        <v>46056</v>
      </c>
      <c r="P94" s="114"/>
      <c r="Q94" s="114"/>
      <c r="R94" s="132" t="str">
        <f>IF(I94="Approved","100%",
 IF(LEN(Q94)&gt;0,"66%",
 IF(LEN(P94)&gt;0,"33%",
 "0%")))</f>
        <v>0%</v>
      </c>
      <c r="S94" s="33"/>
      <c r="T94" s="33"/>
      <c r="U94" s="33"/>
      <c r="V94" s="33"/>
    </row>
    <row r="95" spans="1:22" ht="21" hidden="1" customHeight="1">
      <c r="A95" s="31" t="s">
        <v>338</v>
      </c>
      <c r="B95" s="31" t="s">
        <v>339</v>
      </c>
      <c r="C95" s="31">
        <v>6286</v>
      </c>
      <c r="D95" s="33" t="s">
        <v>7</v>
      </c>
      <c r="E95" s="33" t="s">
        <v>352</v>
      </c>
      <c r="F95" s="110" t="s">
        <v>397</v>
      </c>
      <c r="G95" s="31" t="s">
        <v>343</v>
      </c>
      <c r="H95" s="31" t="str">
        <f>A95&amp;B95&amp;"-"&amp;C95&amp;"-"&amp;D95&amp;E95&amp;"-"&amp;F95</f>
        <v>6105AK137-6286-EDTL-0011</v>
      </c>
      <c r="I95" s="33"/>
      <c r="J95" s="33"/>
      <c r="K95" s="31" t="s">
        <v>416</v>
      </c>
      <c r="L95" s="136" t="s">
        <v>430</v>
      </c>
      <c r="M95" s="31" t="s">
        <v>354</v>
      </c>
      <c r="N95" s="136" t="str">
        <f>K95&amp;" - "&amp;L95&amp;" - "&amp;M95</f>
        <v>Mining Open Pit - Insulator set PP-1 - Details</v>
      </c>
      <c r="O95" s="176">
        <v>46056</v>
      </c>
      <c r="P95" s="114"/>
      <c r="Q95" s="114"/>
      <c r="R95" s="132" t="str">
        <f>IF(I95="Approved","100%",
 IF(LEN(Q95)&gt;0,"66%",
 IF(LEN(P95)&gt;0,"33%",
 "0%")))</f>
        <v>0%</v>
      </c>
      <c r="S95" s="33"/>
      <c r="T95" s="33"/>
      <c r="U95" s="33"/>
      <c r="V95" s="33"/>
    </row>
    <row r="96" spans="1:22" ht="21" hidden="1" customHeight="1">
      <c r="A96" s="31" t="s">
        <v>338</v>
      </c>
      <c r="B96" s="31" t="s">
        <v>339</v>
      </c>
      <c r="C96" s="31">
        <v>6286</v>
      </c>
      <c r="D96" s="33" t="s">
        <v>7</v>
      </c>
      <c r="E96" s="33" t="s">
        <v>352</v>
      </c>
      <c r="F96" s="110" t="s">
        <v>399</v>
      </c>
      <c r="G96" s="31" t="s">
        <v>343</v>
      </c>
      <c r="H96" s="31" t="str">
        <f>A96&amp;B96&amp;"-"&amp;C96&amp;"-"&amp;D96&amp;E96&amp;"-"&amp;F96</f>
        <v>6105AK137-6286-EDTL-0012</v>
      </c>
      <c r="I96" s="33"/>
      <c r="J96" s="33"/>
      <c r="K96" s="31" t="s">
        <v>416</v>
      </c>
      <c r="L96" s="136" t="s">
        <v>425</v>
      </c>
      <c r="M96" s="31" t="s">
        <v>354</v>
      </c>
      <c r="N96" s="136" t="str">
        <f>K96&amp;" - "&amp;L96&amp;" - "&amp;M96</f>
        <v>Mining Open Pit - Bill of insultor sets - Details</v>
      </c>
      <c r="O96" s="176">
        <v>46084</v>
      </c>
      <c r="P96" s="114"/>
      <c r="Q96" s="114"/>
      <c r="R96" s="132" t="str">
        <f>IF(I96="Approved","100%",
 IF(LEN(Q96)&gt;0,"66%",
 IF(LEN(P96)&gt;0,"33%",
 "0%")))</f>
        <v>0%</v>
      </c>
      <c r="S96" s="33"/>
      <c r="T96" s="33"/>
      <c r="U96" s="33"/>
      <c r="V96" s="31"/>
    </row>
    <row r="97" spans="1:22" ht="21" hidden="1" customHeight="1">
      <c r="A97" s="31" t="s">
        <v>338</v>
      </c>
      <c r="B97" s="31" t="s">
        <v>339</v>
      </c>
      <c r="C97" s="31">
        <v>6286</v>
      </c>
      <c r="D97" s="33" t="s">
        <v>7</v>
      </c>
      <c r="E97" s="33" t="s">
        <v>352</v>
      </c>
      <c r="F97" s="110" t="s">
        <v>403</v>
      </c>
      <c r="G97" s="31" t="s">
        <v>343</v>
      </c>
      <c r="H97" s="31" t="str">
        <f>A97&amp;B97&amp;"-"&amp;C97&amp;"-"&amp;D97&amp;E97&amp;"-"&amp;F97</f>
        <v>6105AK137-6286-EDTL-0014</v>
      </c>
      <c r="I97" s="33"/>
      <c r="J97" s="33"/>
      <c r="K97" s="31" t="s">
        <v>416</v>
      </c>
      <c r="L97" s="136" t="s">
        <v>426</v>
      </c>
      <c r="M97" s="31" t="s">
        <v>354</v>
      </c>
      <c r="N97" s="136" t="str">
        <f>K97&amp;" - "&amp;L97&amp;" - "&amp;M97</f>
        <v>Mining Open Pit - Grounding divices - Details</v>
      </c>
      <c r="O97" s="176">
        <v>46115</v>
      </c>
      <c r="P97" s="114"/>
      <c r="Q97" s="114"/>
      <c r="R97" s="132" t="str">
        <f>IF(I97="Approved","100%",
 IF(LEN(Q97)&gt;0,"66%",
 IF(LEN(P97)&gt;0,"33%",
 "0%")))</f>
        <v>0%</v>
      </c>
      <c r="S97" s="33"/>
      <c r="T97" s="33"/>
      <c r="U97" s="33"/>
      <c r="V97" s="31"/>
    </row>
    <row r="98" spans="1:22" ht="21" hidden="1" customHeight="1">
      <c r="A98" s="31" t="s">
        <v>338</v>
      </c>
      <c r="B98" s="31" t="s">
        <v>339</v>
      </c>
      <c r="C98" s="31">
        <v>6286</v>
      </c>
      <c r="D98" s="33" t="s">
        <v>7</v>
      </c>
      <c r="E98" s="33" t="s">
        <v>352</v>
      </c>
      <c r="F98" s="110" t="s">
        <v>432</v>
      </c>
      <c r="G98" s="31" t="s">
        <v>343</v>
      </c>
      <c r="H98" s="31" t="str">
        <f>A98&amp;B98&amp;"-"&amp;C98&amp;"-"&amp;D98&amp;E98&amp;"-"&amp;F98</f>
        <v>6105AK137-6286-EDTL-0015</v>
      </c>
      <c r="I98" s="33"/>
      <c r="J98" s="33"/>
      <c r="K98" s="31" t="s">
        <v>416</v>
      </c>
      <c r="L98" s="136" t="s">
        <v>427</v>
      </c>
      <c r="M98" s="31" t="s">
        <v>354</v>
      </c>
      <c r="N98" s="136" t="str">
        <f>K98&amp;" - "&amp;L98&amp;" - "&amp;M98</f>
        <v>Mining Open Pit - Detailed Ground devices bill - Details</v>
      </c>
      <c r="O98" s="176">
        <v>46115</v>
      </c>
      <c r="P98" s="114"/>
      <c r="Q98" s="114"/>
      <c r="R98" s="132" t="str">
        <f>IF(I98="Approved","100%",
 IF(LEN(Q98)&gt;0,"66%",
 IF(LEN(P98)&gt;0,"33%",
 "0%")))</f>
        <v>0%</v>
      </c>
      <c r="S98" s="33"/>
      <c r="T98" s="33"/>
      <c r="U98" s="33"/>
      <c r="V98" s="31"/>
    </row>
    <row r="99" spans="1:22" ht="21" hidden="1" customHeight="1">
      <c r="A99" s="31" t="s">
        <v>338</v>
      </c>
      <c r="B99" s="31" t="s">
        <v>339</v>
      </c>
      <c r="C99" s="31">
        <v>6286</v>
      </c>
      <c r="D99" s="33" t="s">
        <v>7</v>
      </c>
      <c r="E99" s="33" t="s">
        <v>439</v>
      </c>
      <c r="F99" s="110" t="s">
        <v>342</v>
      </c>
      <c r="G99" s="31" t="s">
        <v>343</v>
      </c>
      <c r="H99" s="31" t="str">
        <f>A99&amp;B99&amp;"-"&amp;C99&amp;"-"&amp;D99&amp;E99&amp;"-"&amp;F99</f>
        <v>6105AK137-6286-EEQL-0001</v>
      </c>
      <c r="I99" s="33" t="s">
        <v>344</v>
      </c>
      <c r="J99" s="33"/>
      <c r="K99" s="31" t="s">
        <v>416</v>
      </c>
      <c r="L99" s="136" t="s">
        <v>425</v>
      </c>
      <c r="M99" s="31" t="s">
        <v>440</v>
      </c>
      <c r="N99" s="136" t="str">
        <f>K99&amp;" - "&amp;L99&amp;" - "&amp;M99</f>
        <v>Mining Open Pit - Bill of insultor sets - Equipment List</v>
      </c>
      <c r="O99" s="114">
        <v>46052</v>
      </c>
      <c r="P99" s="114">
        <v>46071</v>
      </c>
      <c r="Q99" s="114"/>
      <c r="R99" s="132" t="str">
        <f>IF(I99="Approved","100%",
 IF(LEN(Q99)&gt;0,"66%",
 IF(LEN(P99)&gt;0,"33%",
 "0%")))</f>
        <v>33%</v>
      </c>
      <c r="S99" s="33"/>
      <c r="T99" s="33"/>
      <c r="U99" s="33"/>
      <c r="V99" s="33"/>
    </row>
    <row r="100" spans="1:22" ht="21" hidden="1" customHeight="1">
      <c r="A100" s="140" t="s">
        <v>338</v>
      </c>
      <c r="B100" s="140" t="s">
        <v>339</v>
      </c>
      <c r="C100" s="140">
        <v>6286</v>
      </c>
      <c r="D100" s="141" t="s">
        <v>7</v>
      </c>
      <c r="E100" s="141" t="s">
        <v>373</v>
      </c>
      <c r="F100" s="142" t="s">
        <v>342</v>
      </c>
      <c r="G100" s="140" t="s">
        <v>343</v>
      </c>
      <c r="H100" s="31" t="str">
        <f>A100&amp;B100&amp;"-"&amp;C100&amp;"-"&amp;D100&amp;E100&amp;"-"&amp;F100</f>
        <v>6105AK137-6286-EINS-0001</v>
      </c>
      <c r="I100" s="141" t="s">
        <v>344</v>
      </c>
      <c r="J100" s="141"/>
      <c r="K100" s="140" t="s">
        <v>416</v>
      </c>
      <c r="L100" s="144" t="s">
        <v>441</v>
      </c>
      <c r="M100" s="140" t="s">
        <v>375</v>
      </c>
      <c r="N100" s="136" t="str">
        <f>K100&amp;" - "&amp;L100&amp;" - "&amp;M100</f>
        <v>Mining Open Pit - Specifications for metal tower structures - Instructions</v>
      </c>
      <c r="O100" s="160" t="s">
        <v>421</v>
      </c>
      <c r="P100" s="145">
        <v>46071</v>
      </c>
      <c r="Q100" s="145"/>
      <c r="R100" s="146"/>
      <c r="S100" s="141"/>
      <c r="T100" s="141"/>
      <c r="U100" s="141"/>
      <c r="V100" s="143" t="s">
        <v>465</v>
      </c>
    </row>
    <row r="101" spans="1:22" ht="21" hidden="1" customHeight="1">
      <c r="A101" s="31" t="s">
        <v>338</v>
      </c>
      <c r="B101" s="31" t="s">
        <v>339</v>
      </c>
      <c r="C101" s="31">
        <v>6286</v>
      </c>
      <c r="D101" s="33" t="s">
        <v>7</v>
      </c>
      <c r="E101" s="33" t="s">
        <v>483</v>
      </c>
      <c r="F101" s="110" t="s">
        <v>342</v>
      </c>
      <c r="G101" s="31" t="s">
        <v>343</v>
      </c>
      <c r="H101" s="31" t="str">
        <f>A101&amp;B101&amp;"-"&amp;C101&amp;"-"&amp;D101&amp;E101&amp;"-"&amp;F101</f>
        <v>6105AK137-6286-EIOM-0001</v>
      </c>
      <c r="I101" s="33"/>
      <c r="J101" s="33"/>
      <c r="K101" s="31" t="s">
        <v>416</v>
      </c>
      <c r="L101" s="136" t="s">
        <v>457</v>
      </c>
      <c r="M101" s="31" t="s">
        <v>484</v>
      </c>
      <c r="N101" s="136" t="str">
        <f>K101&amp;" - "&amp;L101&amp;" - "&amp;M101</f>
        <v>Mining Open Pit - OPGW termination and installation of splicing box  - Installation Operation and Maintenance Manual</v>
      </c>
      <c r="O101" s="176">
        <v>46298</v>
      </c>
      <c r="P101" s="114"/>
      <c r="Q101" s="114"/>
      <c r="R101" s="132" t="str">
        <f>IF(I101="Approved","100%",
 IF(LEN(Q101)&gt;0,"66%",
 IF(LEN(P101)&gt;0,"33%",
 "0%")))</f>
        <v>0%</v>
      </c>
      <c r="S101" s="33"/>
      <c r="T101" s="33"/>
      <c r="U101" s="33"/>
      <c r="V101" s="31"/>
    </row>
    <row r="102" spans="1:22" ht="21" hidden="1" customHeight="1">
      <c r="A102" s="31" t="s">
        <v>338</v>
      </c>
      <c r="B102" s="31" t="s">
        <v>339</v>
      </c>
      <c r="C102" s="31">
        <v>6286</v>
      </c>
      <c r="D102" s="33" t="s">
        <v>7</v>
      </c>
      <c r="E102" s="33" t="s">
        <v>442</v>
      </c>
      <c r="F102" s="110" t="s">
        <v>342</v>
      </c>
      <c r="G102" s="31" t="s">
        <v>343</v>
      </c>
      <c r="H102" s="31" t="str">
        <f>A102&amp;B102&amp;"-"&amp;C102&amp;"-"&amp;D102&amp;E102&amp;"-"&amp;F102</f>
        <v>6105AK137-6286-ELAY-0001</v>
      </c>
      <c r="I102" s="33" t="s">
        <v>344</v>
      </c>
      <c r="J102" s="33"/>
      <c r="K102" s="31" t="s">
        <v>416</v>
      </c>
      <c r="L102" s="136" t="s">
        <v>485</v>
      </c>
      <c r="M102" s="31" t="s">
        <v>445</v>
      </c>
      <c r="N102" s="136" t="str">
        <f>K102&amp;" - "&amp;L102&amp;" - "&amp;M102</f>
        <v>Mining Open Pit - 11 kV OHL routing - Layout</v>
      </c>
      <c r="O102" s="114">
        <v>46044</v>
      </c>
      <c r="P102" s="114">
        <v>46071</v>
      </c>
      <c r="Q102" s="114"/>
      <c r="R102" s="132" t="str">
        <f>IF(I102="Approved","100%",
 IF(LEN(Q102)&gt;0,"66%",
 IF(LEN(P102)&gt;0,"33%",
 "0%")))</f>
        <v>33%</v>
      </c>
      <c r="S102" s="33"/>
      <c r="T102" s="33"/>
      <c r="U102" s="33"/>
      <c r="V102" s="33"/>
    </row>
    <row r="103" spans="1:22" ht="21" hidden="1" customHeight="1">
      <c r="A103" s="31" t="s">
        <v>338</v>
      </c>
      <c r="B103" s="31" t="s">
        <v>339</v>
      </c>
      <c r="C103" s="31">
        <v>6286</v>
      </c>
      <c r="D103" s="33" t="s">
        <v>7</v>
      </c>
      <c r="E103" s="33" t="s">
        <v>442</v>
      </c>
      <c r="F103" s="110" t="s">
        <v>348</v>
      </c>
      <c r="G103" s="31" t="s">
        <v>343</v>
      </c>
      <c r="H103" s="31" t="str">
        <f>A103&amp;B103&amp;"-"&amp;C103&amp;"-"&amp;D103&amp;E103&amp;"-"&amp;F103</f>
        <v>6105AK137-6286-ELAY-0002</v>
      </c>
      <c r="I103" s="33" t="s">
        <v>344</v>
      </c>
      <c r="J103" s="33"/>
      <c r="K103" s="31" t="s">
        <v>416</v>
      </c>
      <c r="L103" s="162" t="s">
        <v>486</v>
      </c>
      <c r="M103" s="31" t="s">
        <v>445</v>
      </c>
      <c r="N103" s="136" t="str">
        <f>K103&amp;" - "&amp;L103&amp;" - "&amp;M103</f>
        <v>Mining Open Pit - Tower location profile of  11 kV OHL Showel assembly pad - Layout</v>
      </c>
      <c r="O103" s="176">
        <v>46145</v>
      </c>
      <c r="P103" s="114">
        <v>46092</v>
      </c>
      <c r="Q103" s="114"/>
      <c r="R103" s="132" t="str">
        <f>IF(I103="Approved","100%",
 IF(LEN(Q103)&gt;0,"66%",
 IF(LEN(P103)&gt;0,"33%",
 "0%")))</f>
        <v>33%</v>
      </c>
      <c r="S103" s="33"/>
      <c r="T103" s="33"/>
      <c r="U103" s="33"/>
      <c r="V103" s="33"/>
    </row>
    <row r="104" spans="1:22" ht="21" hidden="1" customHeight="1">
      <c r="A104" s="31" t="s">
        <v>338</v>
      </c>
      <c r="B104" s="31" t="s">
        <v>339</v>
      </c>
      <c r="C104" s="31">
        <v>6286</v>
      </c>
      <c r="D104" s="33" t="s">
        <v>7</v>
      </c>
      <c r="E104" s="33" t="s">
        <v>442</v>
      </c>
      <c r="F104" s="110" t="s">
        <v>355</v>
      </c>
      <c r="G104" s="31" t="s">
        <v>343</v>
      </c>
      <c r="H104" s="31" t="str">
        <f>A104&amp;B104&amp;"-"&amp;C104&amp;"-"&amp;D104&amp;E104&amp;"-"&amp;F104</f>
        <v>6105AK137-6286-ELAY-0003</v>
      </c>
      <c r="I104" s="33" t="s">
        <v>344</v>
      </c>
      <c r="J104" s="33"/>
      <c r="K104" s="31" t="s">
        <v>416</v>
      </c>
      <c r="L104" s="162" t="s">
        <v>487</v>
      </c>
      <c r="M104" s="31" t="s">
        <v>445</v>
      </c>
      <c r="N104" s="136" t="str">
        <f>K104&amp;" - "&amp;L104&amp;" - "&amp;M104</f>
        <v>Mining Open Pit - Tower location profile of 11 kV OHL Open pit mine area (ring) - Layout</v>
      </c>
      <c r="O104" s="176">
        <v>46115</v>
      </c>
      <c r="P104" s="114">
        <v>46092</v>
      </c>
      <c r="Q104" s="114"/>
      <c r="R104" s="132" t="str">
        <f>IF(I104="Approved","100%",
 IF(LEN(Q104)&gt;0,"66%",
 IF(LEN(P104)&gt;0,"33%",
 "0%")))</f>
        <v>33%</v>
      </c>
      <c r="S104" s="33"/>
      <c r="T104" s="33"/>
      <c r="U104" s="33"/>
      <c r="V104" s="33"/>
    </row>
    <row r="105" spans="1:22" ht="21" hidden="1" customHeight="1">
      <c r="A105" s="31" t="s">
        <v>338</v>
      </c>
      <c r="B105" s="31" t="s">
        <v>339</v>
      </c>
      <c r="C105" s="31">
        <v>6286</v>
      </c>
      <c r="D105" s="33" t="s">
        <v>7</v>
      </c>
      <c r="E105" s="33" t="s">
        <v>442</v>
      </c>
      <c r="F105" s="110" t="s">
        <v>350</v>
      </c>
      <c r="G105" s="31" t="s">
        <v>343</v>
      </c>
      <c r="H105" s="31" t="str">
        <f>A105&amp;B105&amp;"-"&amp;C105&amp;"-"&amp;D105&amp;E105&amp;"-"&amp;F105</f>
        <v>6105AK137-6286-ELAY-0004</v>
      </c>
      <c r="I105" s="33"/>
      <c r="J105" s="33"/>
      <c r="K105" s="31" t="s">
        <v>416</v>
      </c>
      <c r="L105" s="136" t="s">
        <v>448</v>
      </c>
      <c r="M105" s="31" t="s">
        <v>445</v>
      </c>
      <c r="N105" s="136" t="str">
        <f>K105&amp;" - "&amp;L105&amp;" - "&amp;M105</f>
        <v>Mining Open Pit - Crossings (Layouts and Profiles) - Layout</v>
      </c>
      <c r="O105" s="176">
        <v>46176</v>
      </c>
      <c r="P105" s="114"/>
      <c r="Q105" s="114"/>
      <c r="R105" s="132" t="str">
        <f>IF(I105="Approved","100%",
 IF(LEN(Q105)&gt;0,"66%",
 IF(LEN(P105)&gt;0,"33%",
 "0%")))</f>
        <v>0%</v>
      </c>
      <c r="S105" s="33"/>
      <c r="T105" s="33"/>
      <c r="U105" s="33"/>
      <c r="V105" s="33"/>
    </row>
    <row r="106" spans="1:22" ht="21" hidden="1" customHeight="1">
      <c r="A106" s="31" t="s">
        <v>338</v>
      </c>
      <c r="B106" s="31" t="s">
        <v>339</v>
      </c>
      <c r="C106" s="31">
        <v>6286</v>
      </c>
      <c r="D106" s="33" t="s">
        <v>7</v>
      </c>
      <c r="E106" s="33" t="s">
        <v>442</v>
      </c>
      <c r="F106" s="110" t="s">
        <v>358</v>
      </c>
      <c r="G106" s="31" t="s">
        <v>343</v>
      </c>
      <c r="H106" s="31" t="str">
        <f>A106&amp;B106&amp;"-"&amp;C106&amp;"-"&amp;D106&amp;E106&amp;"-"&amp;F106</f>
        <v>6105AK137-6286-ELAY-0005</v>
      </c>
      <c r="I106" s="33"/>
      <c r="J106" s="33"/>
      <c r="K106" s="31" t="s">
        <v>416</v>
      </c>
      <c r="L106" s="136" t="s">
        <v>488</v>
      </c>
      <c r="M106" s="31" t="s">
        <v>445</v>
      </c>
      <c r="N106" s="136" t="str">
        <f>K106&amp;" - "&amp;L106&amp;" - "&amp;M106</f>
        <v>Mining Open Pit - Bill of crossings  - Layout</v>
      </c>
      <c r="O106" s="177">
        <v>46206</v>
      </c>
      <c r="P106" s="114"/>
      <c r="Q106" s="114"/>
      <c r="R106" s="132" t="str">
        <f>IF(I106="Approved","100%",
 IF(LEN(Q106)&gt;0,"66%",
 IF(LEN(P106)&gt;0,"33%",
 "0%")))</f>
        <v>0%</v>
      </c>
      <c r="S106" s="33"/>
      <c r="T106" s="33"/>
      <c r="U106" s="33"/>
      <c r="V106" s="33"/>
    </row>
    <row r="107" spans="1:22" ht="21" hidden="1" customHeight="1">
      <c r="A107" s="31" t="s">
        <v>338</v>
      </c>
      <c r="B107" s="31" t="s">
        <v>339</v>
      </c>
      <c r="C107" s="31">
        <v>6286</v>
      </c>
      <c r="D107" s="33" t="s">
        <v>7</v>
      </c>
      <c r="E107" s="33" t="s">
        <v>380</v>
      </c>
      <c r="F107" s="110" t="s">
        <v>342</v>
      </c>
      <c r="G107" s="31" t="s">
        <v>343</v>
      </c>
      <c r="H107" s="31" t="str">
        <f>A107&amp;B107&amp;"-"&amp;C107&amp;"-"&amp;D107&amp;E107&amp;"-"&amp;F107</f>
        <v>6105AK137-6286-ESSD-0001</v>
      </c>
      <c r="I107" s="33"/>
      <c r="J107" s="33"/>
      <c r="K107" s="31" t="s">
        <v>416</v>
      </c>
      <c r="L107" s="136" t="s">
        <v>386</v>
      </c>
      <c r="M107" s="31" t="s">
        <v>382</v>
      </c>
      <c r="N107" s="136" t="str">
        <f>K107&amp;" - "&amp;L107&amp;" - "&amp;M107</f>
        <v>Mining Open Pit - Cable termination structural  - Structural Steel Drawings</v>
      </c>
      <c r="O107" s="176">
        <v>46298</v>
      </c>
      <c r="P107" s="114"/>
      <c r="Q107" s="114"/>
      <c r="R107" s="132" t="str">
        <f>IF(I107="Approved","100%",
 IF(LEN(Q107)&gt;0,"66%",
 IF(LEN(P107)&gt;0,"33%",
 "0%")))</f>
        <v>0%</v>
      </c>
      <c r="S107" s="33"/>
      <c r="T107" s="33"/>
      <c r="U107" s="33"/>
      <c r="V107" s="33"/>
    </row>
    <row r="108" spans="1:22" ht="21" hidden="1" customHeight="1">
      <c r="A108" s="31" t="s">
        <v>338</v>
      </c>
      <c r="B108" s="31" t="s">
        <v>339</v>
      </c>
      <c r="C108" s="31">
        <v>6286</v>
      </c>
      <c r="D108" s="33" t="s">
        <v>143</v>
      </c>
      <c r="E108" s="33" t="s">
        <v>450</v>
      </c>
      <c r="F108" s="110" t="s">
        <v>342</v>
      </c>
      <c r="G108" s="31" t="s">
        <v>4</v>
      </c>
      <c r="H108" s="31" t="str">
        <f>A108&amp;B108&amp;"-"&amp;C108&amp;"-"&amp;D108&amp;E108&amp;"-"&amp;F108</f>
        <v>6105AK137-6286-GDTA-0001</v>
      </c>
      <c r="I108" s="33" t="s">
        <v>344</v>
      </c>
      <c r="J108" s="33"/>
      <c r="K108" s="31" t="s">
        <v>416</v>
      </c>
      <c r="L108" s="136" t="s">
        <v>461</v>
      </c>
      <c r="M108" s="31" t="s">
        <v>452</v>
      </c>
      <c r="N108" s="136" t="str">
        <f>K108&amp;" - "&amp;L108&amp;" - "&amp;M108</f>
        <v>Mining Open Pit - List of drawings - Data</v>
      </c>
      <c r="O108" s="161">
        <v>46055</v>
      </c>
      <c r="P108" s="114">
        <v>46085</v>
      </c>
      <c r="Q108" s="114"/>
      <c r="R108" s="132" t="str">
        <f>IF(I108="Approved","100%",
 IF(LEN(Q108)&gt;0,"66%",
 IF(LEN(P108)&gt;0,"33%",
 "0%")))</f>
        <v>33%</v>
      </c>
      <c r="S108" s="33"/>
      <c r="T108" s="33"/>
      <c r="U108" s="33"/>
      <c r="V108" s="33"/>
    </row>
    <row r="109" spans="1:22" ht="21" hidden="1" customHeight="1">
      <c r="A109" s="31" t="s">
        <v>338</v>
      </c>
      <c r="B109" s="31" t="s">
        <v>339</v>
      </c>
      <c r="C109" s="31">
        <v>6286</v>
      </c>
      <c r="D109" s="33" t="s">
        <v>143</v>
      </c>
      <c r="E109" s="33" t="s">
        <v>450</v>
      </c>
      <c r="F109" s="110" t="s">
        <v>348</v>
      </c>
      <c r="G109" s="31" t="s">
        <v>343</v>
      </c>
      <c r="H109" s="31" t="str">
        <f>A109&amp;B109&amp;"-"&amp;C109&amp;"-"&amp;D109&amp;E109&amp;"-"&amp;F109</f>
        <v>6105AK137-6286-GDTA-0002</v>
      </c>
      <c r="I109" s="33"/>
      <c r="J109" s="33"/>
      <c r="K109" s="31" t="s">
        <v>416</v>
      </c>
      <c r="L109" s="136" t="s">
        <v>489</v>
      </c>
      <c r="M109" s="31" t="s">
        <v>452</v>
      </c>
      <c r="N109" s="136" t="str">
        <f>K109&amp;" - "&amp;L109&amp;" - "&amp;M109</f>
        <v>Mining Open Pit - Overall info - Data</v>
      </c>
      <c r="O109" s="176">
        <v>46359</v>
      </c>
      <c r="P109" s="114"/>
      <c r="Q109" s="114"/>
      <c r="R109" s="132" t="str">
        <f>IF(I109="Approved","100%",
 IF(LEN(Q109)&gt;0,"66%",
 IF(LEN(P109)&gt;0,"33%",
 "0%")))</f>
        <v>0%</v>
      </c>
      <c r="S109" s="33"/>
      <c r="T109" s="33"/>
      <c r="U109" s="33"/>
      <c r="V109" s="33"/>
    </row>
    <row r="110" spans="1:22" ht="21" hidden="1" customHeight="1">
      <c r="A110" s="31" t="s">
        <v>338</v>
      </c>
      <c r="B110" s="31" t="s">
        <v>339</v>
      </c>
      <c r="C110" s="31">
        <v>6286</v>
      </c>
      <c r="D110" s="33" t="s">
        <v>143</v>
      </c>
      <c r="E110" s="33" t="s">
        <v>462</v>
      </c>
      <c r="F110" s="110" t="s">
        <v>342</v>
      </c>
      <c r="G110" s="33" t="s">
        <v>343</v>
      </c>
      <c r="H110" s="31" t="str">
        <f>A110&amp;B110&amp;"-"&amp;C110&amp;"-"&amp;D110&amp;E110&amp;"-"&amp;F110</f>
        <v>6105AK137-6286-GMTO-0001</v>
      </c>
      <c r="I110" s="33"/>
      <c r="J110" s="33"/>
      <c r="K110" s="31" t="s">
        <v>416</v>
      </c>
      <c r="L110" s="158" t="s">
        <v>468</v>
      </c>
      <c r="M110" s="31" t="s">
        <v>464</v>
      </c>
      <c r="N110" s="136" t="str">
        <f>K110&amp;" - "&amp;L110&amp;" - "&amp;M110</f>
        <v>Mining Open Pit - List of equipments - Material Take Off</v>
      </c>
      <c r="O110" s="108">
        <v>46055</v>
      </c>
      <c r="P110" s="114"/>
      <c r="Q110" s="114"/>
      <c r="R110" s="132" t="str">
        <f>IF(I110="Approved","100%",
 IF(LEN(Q110)&gt;0,"66%",
 IF(LEN(P110)&gt;0,"33%",
 "0%")))</f>
        <v>0%</v>
      </c>
      <c r="S110" s="33"/>
      <c r="T110" s="33"/>
      <c r="U110" s="33"/>
      <c r="V110" s="33"/>
    </row>
    <row r="111" spans="1:22" ht="21" hidden="1" customHeight="1">
      <c r="A111" s="31" t="s">
        <v>338</v>
      </c>
      <c r="B111" s="31" t="s">
        <v>339</v>
      </c>
      <c r="C111" s="31">
        <v>6286</v>
      </c>
      <c r="D111" s="33" t="s">
        <v>143</v>
      </c>
      <c r="E111" s="33" t="s">
        <v>462</v>
      </c>
      <c r="F111" s="110" t="s">
        <v>348</v>
      </c>
      <c r="G111" s="33" t="s">
        <v>343</v>
      </c>
      <c r="H111" s="31" t="str">
        <f>A111&amp;B111&amp;"-"&amp;C111&amp;"-"&amp;D111&amp;E111&amp;"-"&amp;F111</f>
        <v>6105AK137-6286-GMTO-0002</v>
      </c>
      <c r="I111" s="33" t="s">
        <v>344</v>
      </c>
      <c r="J111" s="33"/>
      <c r="K111" s="31" t="s">
        <v>416</v>
      </c>
      <c r="L111" s="136" t="s">
        <v>463</v>
      </c>
      <c r="M111" s="33" t="s">
        <v>464</v>
      </c>
      <c r="N111" s="136" t="str">
        <f>K111&amp;" - "&amp;L111&amp;" - "&amp;M111</f>
        <v>Mining Open Pit - Detailed List of equipments - Material Take Off</v>
      </c>
      <c r="O111" s="178">
        <v>46329</v>
      </c>
      <c r="P111" s="114">
        <v>46072</v>
      </c>
      <c r="Q111" s="114"/>
      <c r="R111" s="132" t="str">
        <f>IF(I111="Approved","100%",
 IF(LEN(Q111)&gt;0,"66%",
 IF(LEN(P111)&gt;0,"33%",
 "0%")))</f>
        <v>33%</v>
      </c>
      <c r="S111" s="33"/>
      <c r="T111" s="33"/>
      <c r="U111" s="33"/>
      <c r="V111" s="33"/>
    </row>
    <row r="112" spans="1:22" ht="21" hidden="1" customHeight="1">
      <c r="A112" s="31" t="s">
        <v>338</v>
      </c>
      <c r="B112" s="31" t="s">
        <v>339</v>
      </c>
      <c r="C112" s="31">
        <v>6286</v>
      </c>
      <c r="D112" s="33" t="s">
        <v>143</v>
      </c>
      <c r="E112" s="33" t="s">
        <v>469</v>
      </c>
      <c r="F112" s="110" t="s">
        <v>342</v>
      </c>
      <c r="G112" s="33" t="s">
        <v>343</v>
      </c>
      <c r="H112" s="31" t="str">
        <f>A112&amp;B112&amp;"-"&amp;C112&amp;"-"&amp;D112&amp;E112&amp;"-"&amp;F112</f>
        <v>6105AK137-6286-GPLN-0001</v>
      </c>
      <c r="I112" s="33"/>
      <c r="J112" s="33"/>
      <c r="K112" s="31" t="s">
        <v>416</v>
      </c>
      <c r="L112" s="136" t="s">
        <v>470</v>
      </c>
      <c r="M112" s="33" t="s">
        <v>445</v>
      </c>
      <c r="N112" s="136" t="str">
        <f>K112&amp;" - "&amp;L112&amp;" - "&amp;M112</f>
        <v>Mining Open Pit - Key plan - Layout</v>
      </c>
      <c r="O112" s="114">
        <v>46044</v>
      </c>
      <c r="P112" s="114">
        <v>46078</v>
      </c>
      <c r="Q112" s="114"/>
      <c r="R112" s="132" t="str">
        <f>IF(I112="Approved","100%",
 IF(LEN(Q112)&gt;0,"66%",
 IF(LEN(P112)&gt;0,"33%",
 "0%")))</f>
        <v>33%</v>
      </c>
      <c r="S112" s="33"/>
      <c r="T112" s="33"/>
      <c r="U112" s="33"/>
      <c r="V112" s="33"/>
    </row>
    <row r="113" spans="1:22" ht="21" hidden="1" customHeight="1">
      <c r="A113" s="31" t="s">
        <v>338</v>
      </c>
      <c r="B113" s="31" t="s">
        <v>339</v>
      </c>
      <c r="C113" s="31">
        <v>6286</v>
      </c>
      <c r="D113" s="33" t="s">
        <v>143</v>
      </c>
      <c r="E113" s="33" t="s">
        <v>469</v>
      </c>
      <c r="F113" s="110" t="s">
        <v>348</v>
      </c>
      <c r="G113" s="33" t="s">
        <v>343</v>
      </c>
      <c r="H113" s="31" t="str">
        <f>A113&amp;B113&amp;"-"&amp;C113&amp;"-"&amp;D113&amp;E113&amp;"-"&amp;F113</f>
        <v>6105AK137-6286-GPLN-0002</v>
      </c>
      <c r="I113" s="33"/>
      <c r="J113" s="33"/>
      <c r="K113" s="31" t="s">
        <v>416</v>
      </c>
      <c r="L113" s="136" t="s">
        <v>490</v>
      </c>
      <c r="M113" s="31" t="s">
        <v>445</v>
      </c>
      <c r="N113" s="136" t="str">
        <f>K113&amp;" - "&amp;L113&amp;" - "&amp;M113</f>
        <v>Mining Open Pit - Key plan (Mining) - Layout</v>
      </c>
      <c r="O113" s="178">
        <v>46329</v>
      </c>
      <c r="P113" s="114"/>
      <c r="Q113" s="114"/>
      <c r="R113" s="132" t="str">
        <f>IF(I113="Approved","100%",
 IF(LEN(Q113)&gt;0,"66%",
 IF(LEN(P113)&gt;0,"33%",
 "0%")))</f>
        <v>0%</v>
      </c>
      <c r="S113" s="33"/>
      <c r="T113" s="33"/>
      <c r="U113" s="33"/>
      <c r="V113" s="33"/>
    </row>
    <row r="114" spans="1:22" ht="21" hidden="1" customHeight="1">
      <c r="A114" s="31" t="s">
        <v>338</v>
      </c>
      <c r="B114" s="31" t="s">
        <v>339</v>
      </c>
      <c r="C114" s="31">
        <v>6286</v>
      </c>
      <c r="D114" s="33" t="s">
        <v>143</v>
      </c>
      <c r="E114" s="33" t="s">
        <v>491</v>
      </c>
      <c r="F114" s="110" t="s">
        <v>342</v>
      </c>
      <c r="G114" s="31" t="s">
        <v>343</v>
      </c>
      <c r="H114" s="31" t="str">
        <f>A114&amp;B114&amp;"-"&amp;C114&amp;"-"&amp;D114&amp;E114&amp;"-"&amp;F114</f>
        <v>6105AK137-6286-GRPT-0001</v>
      </c>
      <c r="I114" s="33" t="s">
        <v>344</v>
      </c>
      <c r="J114" s="33"/>
      <c r="K114" s="31" t="s">
        <v>416</v>
      </c>
      <c r="L114" s="136" t="s">
        <v>492</v>
      </c>
      <c r="M114" s="31" t="s">
        <v>493</v>
      </c>
      <c r="N114" s="136" t="str">
        <f>K114&amp;" - "&amp;L114&amp;" - "&amp;M114</f>
        <v>Mining Open Pit - Explanatory note - Report</v>
      </c>
      <c r="O114" s="11">
        <v>46055</v>
      </c>
      <c r="P114" s="114">
        <v>46076</v>
      </c>
      <c r="Q114" s="114"/>
      <c r="R114" s="132" t="str">
        <f>IF(I114="Approved","100%",
 IF(LEN(Q114)&gt;0,"66%",
 IF(LEN(P114)&gt;0,"33%",
 "0%")))</f>
        <v>33%</v>
      </c>
      <c r="S114" s="33"/>
      <c r="T114" s="33"/>
      <c r="U114" s="33"/>
      <c r="V114" s="33"/>
    </row>
    <row r="115" spans="1:22" ht="21" hidden="1" customHeight="1">
      <c r="A115" s="31" t="s">
        <v>338</v>
      </c>
      <c r="B115" s="31" t="s">
        <v>339</v>
      </c>
      <c r="C115" s="33">
        <v>6280</v>
      </c>
      <c r="D115" s="33" t="s">
        <v>143</v>
      </c>
      <c r="E115" s="33" t="s">
        <v>469</v>
      </c>
      <c r="F115" s="110" t="s">
        <v>348</v>
      </c>
      <c r="G115" s="33" t="s">
        <v>343</v>
      </c>
      <c r="H115" s="31" t="str">
        <f>A115&amp;B115&amp;"-"&amp;C115&amp;"-"&amp;D115&amp;E115&amp;"-"&amp;F115</f>
        <v>6105AK137-6280-GPLN-0002</v>
      </c>
      <c r="I115" s="33"/>
      <c r="J115" s="33"/>
      <c r="K115" s="31" t="s">
        <v>345</v>
      </c>
      <c r="L115" s="136" t="s">
        <v>494</v>
      </c>
      <c r="M115" s="31" t="s">
        <v>445</v>
      </c>
      <c r="N115" s="136" t="str">
        <f>K115&amp;" - "&amp;L115&amp;" - "&amp;M115</f>
        <v>Medium Voltage (33 kV) Overhead Powerlines - Key plan (OHL) - Layout</v>
      </c>
      <c r="O115" s="112">
        <v>46078</v>
      </c>
      <c r="P115" s="112"/>
      <c r="Q115" s="114"/>
      <c r="R115" s="132" t="str">
        <f>IF(I115="Approved","100%",
 IF(LEN(Q115)&gt;0,"66%",
 IF(LEN(P115)&gt;0,"33%",
 "0%")))</f>
        <v>0%</v>
      </c>
      <c r="S115" s="33"/>
      <c r="T115" s="33"/>
      <c r="U115" s="33"/>
      <c r="V115" s="33"/>
    </row>
    <row r="116" spans="1:22" ht="21" hidden="1" customHeight="1">
      <c r="A116" s="31" t="s">
        <v>338</v>
      </c>
      <c r="B116" s="31" t="s">
        <v>339</v>
      </c>
      <c r="C116" s="31">
        <v>6280</v>
      </c>
      <c r="D116" s="33" t="s">
        <v>143</v>
      </c>
      <c r="E116" s="33" t="s">
        <v>491</v>
      </c>
      <c r="F116" s="110" t="s">
        <v>342</v>
      </c>
      <c r="G116" s="31" t="s">
        <v>343</v>
      </c>
      <c r="H116" s="31" t="str">
        <f>A116&amp;B116&amp;"-"&amp;C116&amp;"-"&amp;D116&amp;E116&amp;"-"&amp;F116</f>
        <v>6105AK137-6280-GRPT-0001</v>
      </c>
      <c r="I116" s="33" t="s">
        <v>344</v>
      </c>
      <c r="K116" s="9" t="s">
        <v>345</v>
      </c>
      <c r="L116" s="164" t="s">
        <v>492</v>
      </c>
      <c r="M116" s="31" t="s">
        <v>493</v>
      </c>
      <c r="N116" s="136" t="str">
        <f>K116&amp;" - "&amp;L116&amp;" - "&amp;M116</f>
        <v>Medium Voltage (33 kV) Overhead Powerlines - Explanatory note - Report</v>
      </c>
      <c r="O116" s="11">
        <v>46055</v>
      </c>
      <c r="P116" s="114">
        <v>46076</v>
      </c>
      <c r="Q116" s="114"/>
      <c r="R116" s="132" t="str">
        <f>IF(I116="Approved","100%",
 IF(LEN(Q116)&gt;0,"66%",
 IF(LEN(P116)&gt;0,"33%",
 "0%")))</f>
        <v>33%</v>
      </c>
      <c r="S116" s="33"/>
      <c r="T116" s="33"/>
      <c r="U116" s="33"/>
      <c r="V116" s="33"/>
    </row>
    <row r="117" spans="1:22" ht="21" hidden="1" customHeight="1">
      <c r="A117" s="31"/>
      <c r="B117" s="31"/>
      <c r="C117" s="33"/>
      <c r="D117" s="33"/>
      <c r="E117" s="33"/>
      <c r="F117" s="110"/>
      <c r="G117" s="33"/>
      <c r="H117" s="33"/>
      <c r="I117" s="33"/>
      <c r="J117" s="33"/>
      <c r="K117" s="31"/>
      <c r="L117" s="33"/>
      <c r="M117" s="33"/>
      <c r="N117" s="31"/>
      <c r="O117" s="11"/>
      <c r="P117" s="114"/>
      <c r="Q117" s="114"/>
      <c r="R117" s="117"/>
      <c r="S117" s="33"/>
      <c r="T117" s="33"/>
      <c r="U117" s="33"/>
      <c r="V117" s="33"/>
    </row>
    <row r="118" spans="1:22" ht="21" hidden="1" customHeight="1">
      <c r="A118" s="31"/>
      <c r="B118" s="31"/>
      <c r="C118" s="33"/>
      <c r="D118" s="33"/>
      <c r="E118" s="33"/>
      <c r="F118" s="110"/>
      <c r="G118" s="33"/>
      <c r="I118" s="33"/>
      <c r="J118" s="33"/>
      <c r="M118" s="33"/>
      <c r="O118" s="11"/>
      <c r="P118" s="114"/>
      <c r="Q118" s="114"/>
      <c r="R118" s="117"/>
      <c r="S118" s="33"/>
      <c r="T118" s="33"/>
      <c r="U118" s="33"/>
      <c r="V118" s="33"/>
    </row>
    <row r="119" spans="1:22" ht="21" hidden="1" customHeight="1">
      <c r="A119" s="31"/>
      <c r="B119" s="31"/>
      <c r="C119" s="33"/>
      <c r="D119" s="33"/>
      <c r="E119" s="33"/>
      <c r="F119" s="110"/>
      <c r="G119" s="33"/>
      <c r="H119" s="33"/>
      <c r="I119" s="33"/>
      <c r="J119" s="33"/>
      <c r="K119" s="31"/>
      <c r="L119" s="33"/>
      <c r="M119" s="33"/>
      <c r="N119" s="31"/>
      <c r="O119" s="11"/>
      <c r="P119" s="114"/>
      <c r="Q119" s="114"/>
      <c r="R119" s="117"/>
      <c r="S119" s="33"/>
      <c r="T119" s="33"/>
      <c r="U119" s="33"/>
      <c r="V119" s="33"/>
    </row>
    <row r="120" spans="1:22" ht="21" hidden="1" customHeight="1">
      <c r="A120" s="31"/>
      <c r="B120" s="31"/>
      <c r="C120" s="33"/>
      <c r="D120" s="33"/>
      <c r="E120" s="33"/>
      <c r="F120" s="110"/>
      <c r="G120" s="33"/>
      <c r="H120" s="31"/>
      <c r="I120" s="33"/>
      <c r="J120" s="33"/>
      <c r="K120" s="31"/>
      <c r="L120" s="33"/>
      <c r="M120" s="33"/>
      <c r="N120" s="31"/>
      <c r="O120" s="11"/>
      <c r="P120" s="114"/>
      <c r="Q120" s="114"/>
      <c r="R120" s="117"/>
      <c r="S120" s="33"/>
      <c r="T120" s="33"/>
      <c r="U120" s="33"/>
      <c r="V120" s="33"/>
    </row>
    <row r="121" spans="1:22" ht="21" hidden="1" customHeight="1">
      <c r="A121" s="31"/>
      <c r="B121" s="31"/>
      <c r="C121" s="33"/>
      <c r="D121" s="33"/>
      <c r="E121" s="33"/>
      <c r="F121" s="110"/>
      <c r="G121" s="33"/>
      <c r="H121" s="33"/>
      <c r="I121" s="33"/>
      <c r="J121" s="33"/>
      <c r="K121" s="33"/>
      <c r="L121" s="31"/>
      <c r="M121" s="33"/>
      <c r="N121" s="31"/>
      <c r="O121" s="11"/>
      <c r="P121" s="114"/>
      <c r="Q121" s="114"/>
      <c r="R121" s="117"/>
      <c r="S121" s="33"/>
      <c r="T121" s="33"/>
      <c r="U121" s="33"/>
      <c r="V121" s="33"/>
    </row>
    <row r="122" spans="1:22" ht="21" hidden="1" customHeight="1">
      <c r="A122" s="31"/>
      <c r="B122" s="31"/>
      <c r="C122" s="33"/>
      <c r="D122" s="33"/>
      <c r="E122" s="33"/>
      <c r="F122" s="110"/>
      <c r="G122" s="33"/>
      <c r="H122" s="33"/>
      <c r="I122" s="33"/>
      <c r="J122" s="33"/>
      <c r="K122" s="31"/>
      <c r="L122" s="33"/>
      <c r="M122" s="33"/>
      <c r="N122" s="31"/>
      <c r="O122" s="11"/>
      <c r="P122" s="114"/>
      <c r="Q122" s="114"/>
      <c r="R122" s="117"/>
      <c r="S122" s="33"/>
      <c r="T122" s="33"/>
      <c r="U122" s="33"/>
      <c r="V122" s="33"/>
    </row>
    <row r="123" spans="1:22" ht="21" hidden="1" customHeight="1">
      <c r="A123" s="31"/>
      <c r="B123" s="31"/>
      <c r="C123" s="33"/>
      <c r="D123" s="33"/>
      <c r="E123" s="33"/>
      <c r="F123" s="110"/>
      <c r="G123" s="33"/>
      <c r="H123" s="33"/>
      <c r="I123" s="33"/>
      <c r="J123" s="33"/>
      <c r="K123" s="31"/>
      <c r="L123" s="33"/>
      <c r="M123" s="33"/>
      <c r="N123" s="31"/>
      <c r="O123" s="11"/>
      <c r="P123" s="114"/>
      <c r="Q123" s="114"/>
      <c r="R123" s="117"/>
      <c r="S123" s="33"/>
      <c r="T123" s="33"/>
      <c r="U123" s="33"/>
      <c r="V123" s="33"/>
    </row>
    <row r="124" spans="1:22" ht="21" hidden="1" customHeight="1">
      <c r="A124" s="31"/>
      <c r="B124" s="31"/>
      <c r="C124" s="33"/>
      <c r="D124" s="33"/>
      <c r="E124" s="33"/>
      <c r="F124" s="110"/>
      <c r="G124" s="33"/>
      <c r="H124" s="33"/>
      <c r="I124" s="33"/>
      <c r="J124" s="33"/>
      <c r="K124" s="31"/>
      <c r="L124" s="33"/>
      <c r="M124" s="33"/>
      <c r="N124" s="31"/>
      <c r="O124" s="11"/>
      <c r="P124" s="114"/>
      <c r="Q124" s="114"/>
      <c r="R124" s="117"/>
      <c r="S124" s="33"/>
      <c r="T124" s="33"/>
      <c r="U124" s="33"/>
      <c r="V124" s="33"/>
    </row>
    <row r="125" spans="1:22" ht="21" hidden="1" customHeight="1">
      <c r="A125" s="31"/>
      <c r="B125" s="31"/>
      <c r="C125" s="33"/>
      <c r="D125" s="33"/>
      <c r="E125" s="33"/>
      <c r="F125" s="110"/>
      <c r="G125" s="33"/>
      <c r="H125" s="33"/>
      <c r="I125" s="33"/>
      <c r="J125" s="33"/>
      <c r="K125" s="31"/>
      <c r="L125" s="33"/>
      <c r="M125" s="33"/>
      <c r="N125" s="31"/>
      <c r="O125" s="11"/>
      <c r="P125" s="114"/>
      <c r="Q125" s="114"/>
      <c r="R125" s="117"/>
      <c r="S125" s="33"/>
      <c r="T125" s="33"/>
      <c r="U125" s="33"/>
      <c r="V125" s="33"/>
    </row>
    <row r="126" spans="1:22" ht="21" hidden="1" customHeight="1">
      <c r="A126" s="31"/>
      <c r="B126" s="31"/>
      <c r="C126" s="33"/>
      <c r="D126" s="33"/>
      <c r="E126" s="33"/>
      <c r="F126" s="110"/>
      <c r="G126" s="33"/>
      <c r="H126" s="33"/>
      <c r="I126" s="33"/>
      <c r="J126" s="33"/>
      <c r="K126" s="31"/>
      <c r="L126" s="33"/>
      <c r="M126" s="33"/>
      <c r="N126" s="31"/>
      <c r="O126" s="11"/>
      <c r="P126" s="114"/>
      <c r="Q126" s="114"/>
      <c r="R126" s="117"/>
      <c r="S126" s="33"/>
      <c r="T126" s="33"/>
      <c r="U126" s="33"/>
      <c r="V126" s="33"/>
    </row>
    <row r="127" spans="1:22" ht="21" hidden="1" customHeight="1">
      <c r="A127" s="31"/>
      <c r="B127" s="31"/>
      <c r="C127" s="33"/>
      <c r="D127" s="33"/>
      <c r="E127" s="33"/>
      <c r="F127" s="110"/>
      <c r="G127" s="33"/>
      <c r="H127" s="33"/>
      <c r="I127" s="33"/>
      <c r="J127" s="33"/>
      <c r="K127" s="31"/>
      <c r="L127" s="33"/>
      <c r="M127" s="33"/>
      <c r="N127" s="31"/>
      <c r="O127" s="11"/>
      <c r="P127" s="114"/>
      <c r="Q127" s="114"/>
      <c r="R127" s="117"/>
      <c r="S127" s="33"/>
      <c r="T127" s="33"/>
      <c r="U127" s="33"/>
      <c r="V127" s="33"/>
    </row>
    <row r="128" spans="1:22" ht="21" hidden="1" customHeight="1">
      <c r="A128" s="31"/>
      <c r="B128" s="31"/>
      <c r="C128" s="33"/>
      <c r="D128" s="33"/>
      <c r="E128" s="33"/>
      <c r="F128" s="110"/>
      <c r="G128" s="33"/>
      <c r="H128" s="33"/>
      <c r="I128" s="33"/>
      <c r="J128" s="33"/>
      <c r="K128" s="31"/>
      <c r="L128" s="33"/>
      <c r="M128" s="33"/>
      <c r="N128" s="31"/>
      <c r="O128" s="11"/>
      <c r="P128" s="114"/>
      <c r="Q128" s="114"/>
      <c r="R128" s="117"/>
      <c r="S128" s="33"/>
      <c r="T128" s="33"/>
      <c r="U128" s="33"/>
      <c r="V128" s="33"/>
    </row>
    <row r="129" spans="1:22" ht="21" hidden="1" customHeight="1">
      <c r="A129" s="31"/>
      <c r="B129" s="31"/>
      <c r="C129" s="33"/>
      <c r="D129" s="33"/>
      <c r="E129" s="33"/>
      <c r="F129" s="110"/>
      <c r="G129" s="33"/>
      <c r="H129" s="33"/>
      <c r="I129" s="33"/>
      <c r="J129" s="33"/>
      <c r="K129" s="31"/>
      <c r="L129" s="33"/>
      <c r="M129" s="33"/>
      <c r="N129" s="31"/>
      <c r="O129" s="11"/>
      <c r="P129" s="114"/>
      <c r="Q129" s="114"/>
      <c r="R129" s="117"/>
      <c r="S129" s="33"/>
      <c r="T129" s="33"/>
      <c r="U129" s="33"/>
      <c r="V129" s="33"/>
    </row>
    <row r="130" spans="1:22" ht="21" hidden="1" customHeight="1">
      <c r="A130" s="31"/>
      <c r="B130" s="31"/>
      <c r="C130" s="33"/>
      <c r="D130" s="33"/>
      <c r="E130" s="33"/>
      <c r="F130" s="110"/>
      <c r="G130" s="33"/>
      <c r="H130" s="33"/>
      <c r="I130" s="33"/>
      <c r="J130" s="33"/>
      <c r="K130" s="31"/>
      <c r="L130" s="33"/>
      <c r="M130" s="33"/>
      <c r="N130" s="31"/>
      <c r="O130" s="11"/>
      <c r="P130" s="114"/>
      <c r="Q130" s="114"/>
      <c r="R130" s="117"/>
      <c r="S130" s="33"/>
      <c r="T130" s="33"/>
      <c r="U130" s="33"/>
      <c r="V130" s="33"/>
    </row>
    <row r="131" spans="1:22" ht="21" hidden="1" customHeight="1">
      <c r="A131" s="31"/>
      <c r="B131" s="31"/>
      <c r="C131" s="33"/>
      <c r="D131" s="33"/>
      <c r="E131" s="33"/>
      <c r="F131" s="110"/>
      <c r="G131" s="33"/>
      <c r="H131" s="33"/>
      <c r="I131" s="33"/>
      <c r="J131" s="33"/>
      <c r="K131" s="31"/>
      <c r="L131" s="33"/>
      <c r="M131" s="33"/>
      <c r="N131" s="31"/>
      <c r="O131" s="11"/>
      <c r="P131" s="114"/>
      <c r="Q131" s="114"/>
      <c r="R131" s="117"/>
      <c r="S131" s="33"/>
      <c r="T131" s="33"/>
      <c r="U131" s="33"/>
      <c r="V131" s="33"/>
    </row>
    <row r="132" spans="1:22" ht="21" hidden="1" customHeight="1">
      <c r="A132" s="31"/>
      <c r="B132" s="31"/>
      <c r="C132" s="33"/>
      <c r="D132" s="33"/>
      <c r="E132" s="33"/>
      <c r="F132" s="110"/>
      <c r="G132" s="33"/>
      <c r="H132" s="33"/>
      <c r="I132" s="33"/>
      <c r="J132" s="33"/>
      <c r="K132" s="31"/>
      <c r="L132" s="33"/>
      <c r="M132" s="33"/>
      <c r="N132" s="31"/>
      <c r="O132" s="11"/>
      <c r="P132" s="114"/>
      <c r="Q132" s="114"/>
      <c r="R132" s="117"/>
      <c r="S132" s="33"/>
      <c r="T132" s="33"/>
      <c r="U132" s="33"/>
      <c r="V132" s="33"/>
    </row>
    <row r="133" spans="1:22" ht="21" hidden="1" customHeight="1">
      <c r="A133" s="31"/>
      <c r="B133" s="31"/>
      <c r="C133" s="33"/>
      <c r="D133" s="33"/>
      <c r="E133" s="33"/>
      <c r="F133" s="110"/>
      <c r="G133" s="33"/>
      <c r="H133" s="33"/>
      <c r="I133" s="33"/>
      <c r="J133" s="33"/>
      <c r="K133" s="31"/>
      <c r="L133" s="33"/>
      <c r="M133" s="33"/>
      <c r="N133" s="31"/>
      <c r="O133" s="11"/>
      <c r="P133" s="114"/>
      <c r="Q133" s="114"/>
      <c r="R133" s="117"/>
      <c r="S133" s="33"/>
      <c r="T133" s="33"/>
      <c r="U133" s="33"/>
      <c r="V133" s="33"/>
    </row>
    <row r="134" spans="1:22" ht="21" hidden="1" customHeight="1">
      <c r="A134" s="31"/>
      <c r="B134" s="31"/>
      <c r="C134" s="33"/>
      <c r="D134" s="33"/>
      <c r="E134" s="33"/>
      <c r="F134" s="110"/>
      <c r="G134" s="33"/>
      <c r="H134" s="33"/>
      <c r="I134" s="33"/>
      <c r="J134" s="33"/>
      <c r="K134" s="31"/>
      <c r="L134" s="33"/>
      <c r="M134" s="33"/>
      <c r="N134" s="31"/>
      <c r="O134" s="11"/>
      <c r="P134" s="114"/>
      <c r="Q134" s="114"/>
      <c r="R134" s="117"/>
      <c r="S134" s="33"/>
      <c r="T134" s="33"/>
      <c r="U134" s="33"/>
      <c r="V134" s="33"/>
    </row>
    <row r="135" spans="1:22" ht="21" hidden="1" customHeight="1">
      <c r="A135" s="31"/>
      <c r="B135" s="31"/>
      <c r="C135" s="33"/>
      <c r="D135" s="33"/>
      <c r="E135" s="33"/>
      <c r="F135" s="110"/>
      <c r="G135" s="33"/>
      <c r="H135" s="33"/>
      <c r="I135" s="33"/>
      <c r="J135" s="33"/>
      <c r="K135" s="31"/>
      <c r="L135" s="33"/>
      <c r="M135" s="33"/>
      <c r="N135" s="31"/>
      <c r="O135" s="11"/>
      <c r="P135" s="114"/>
      <c r="Q135" s="114"/>
      <c r="R135" s="117"/>
      <c r="S135" s="33"/>
      <c r="T135" s="33"/>
      <c r="U135" s="33"/>
      <c r="V135" s="33"/>
    </row>
    <row r="136" spans="1:22" ht="21" hidden="1" customHeight="1">
      <c r="A136" s="31"/>
      <c r="B136" s="31"/>
      <c r="C136" s="33"/>
      <c r="D136" s="33"/>
      <c r="E136" s="33"/>
      <c r="F136" s="110"/>
      <c r="G136" s="33"/>
      <c r="H136" s="33"/>
      <c r="I136" s="33"/>
      <c r="J136" s="33"/>
      <c r="K136" s="31"/>
      <c r="L136" s="33"/>
      <c r="M136" s="33"/>
      <c r="N136" s="31"/>
      <c r="O136" s="11"/>
      <c r="P136" s="114"/>
      <c r="Q136" s="114"/>
      <c r="R136" s="117"/>
      <c r="S136" s="33"/>
      <c r="T136" s="33"/>
      <c r="U136" s="33"/>
      <c r="V136" s="33"/>
    </row>
    <row r="137" spans="1:22" ht="21" hidden="1" customHeight="1">
      <c r="A137" s="31"/>
      <c r="B137" s="31"/>
      <c r="C137" s="33"/>
      <c r="D137" s="33"/>
      <c r="E137" s="33"/>
      <c r="F137" s="110"/>
      <c r="G137" s="33"/>
      <c r="H137" s="33"/>
      <c r="I137" s="33"/>
      <c r="J137" s="33"/>
      <c r="K137" s="31"/>
      <c r="L137" s="33"/>
      <c r="M137" s="33"/>
      <c r="N137" s="31"/>
      <c r="O137" s="11"/>
      <c r="P137" s="114"/>
      <c r="Q137" s="114"/>
      <c r="R137" s="117"/>
      <c r="S137" s="33"/>
      <c r="T137" s="33"/>
      <c r="U137" s="33"/>
      <c r="V137" s="33"/>
    </row>
    <row r="138" spans="1:22" ht="21" hidden="1" customHeight="1">
      <c r="A138" s="31"/>
      <c r="B138" s="31"/>
      <c r="C138" s="33"/>
      <c r="D138" s="33"/>
      <c r="E138" s="33"/>
      <c r="F138" s="110"/>
      <c r="G138" s="33"/>
      <c r="H138" s="33"/>
      <c r="I138" s="33"/>
      <c r="J138" s="33"/>
      <c r="K138" s="31"/>
      <c r="L138" s="33"/>
      <c r="M138" s="33"/>
      <c r="N138" s="31"/>
      <c r="O138" s="11"/>
      <c r="P138" s="114"/>
      <c r="Q138" s="114"/>
      <c r="R138" s="117"/>
      <c r="S138" s="33"/>
      <c r="T138" s="33"/>
      <c r="U138" s="33"/>
      <c r="V138" s="33"/>
    </row>
    <row r="139" spans="1:22" ht="21" hidden="1" customHeight="1">
      <c r="A139" s="31"/>
      <c r="B139" s="31"/>
      <c r="C139" s="33"/>
      <c r="D139" s="33"/>
      <c r="E139" s="33"/>
      <c r="F139" s="110"/>
      <c r="G139" s="33"/>
      <c r="H139" s="33"/>
      <c r="I139" s="33"/>
      <c r="J139" s="33"/>
      <c r="K139" s="31"/>
      <c r="L139" s="33"/>
      <c r="M139" s="33"/>
      <c r="N139" s="31"/>
      <c r="O139" s="11"/>
      <c r="P139" s="114"/>
      <c r="Q139" s="114"/>
      <c r="R139" s="117"/>
      <c r="S139" s="33"/>
      <c r="T139" s="33"/>
      <c r="U139" s="33"/>
      <c r="V139" s="33"/>
    </row>
    <row r="140" spans="1:22" ht="21" hidden="1" customHeight="1">
      <c r="A140" s="31"/>
      <c r="B140" s="31"/>
      <c r="C140" s="33"/>
      <c r="D140" s="33"/>
      <c r="E140" s="33"/>
      <c r="F140" s="110"/>
      <c r="G140" s="33"/>
      <c r="H140" s="33"/>
      <c r="I140" s="33"/>
      <c r="J140" s="33"/>
      <c r="K140" s="31"/>
      <c r="L140" s="33"/>
      <c r="M140" s="33"/>
      <c r="N140" s="31"/>
      <c r="O140" s="11"/>
      <c r="P140" s="114"/>
      <c r="Q140" s="114"/>
      <c r="R140" s="117"/>
      <c r="S140" s="33"/>
      <c r="T140" s="33"/>
      <c r="U140" s="33"/>
      <c r="V140" s="33"/>
    </row>
    <row r="141" spans="1:22" ht="21" hidden="1" customHeight="1">
      <c r="A141" s="31"/>
      <c r="B141" s="31"/>
      <c r="C141" s="33"/>
      <c r="D141" s="33"/>
      <c r="E141" s="33"/>
      <c r="F141" s="110"/>
      <c r="G141" s="33"/>
      <c r="H141" s="33"/>
      <c r="I141" s="33"/>
      <c r="J141" s="33"/>
      <c r="K141" s="31"/>
      <c r="L141" s="33"/>
      <c r="M141" s="33"/>
      <c r="N141" s="31"/>
      <c r="O141" s="11"/>
      <c r="P141" s="114"/>
      <c r="Q141" s="114"/>
      <c r="R141" s="117"/>
      <c r="S141" s="33"/>
      <c r="T141" s="33"/>
      <c r="U141" s="33"/>
      <c r="V141" s="33"/>
    </row>
    <row r="142" spans="1:22" ht="21" hidden="1" customHeight="1">
      <c r="A142" s="31"/>
      <c r="B142" s="31"/>
      <c r="C142" s="33"/>
      <c r="D142" s="33"/>
      <c r="E142" s="33"/>
      <c r="F142" s="110"/>
      <c r="G142" s="33"/>
      <c r="H142" s="33"/>
      <c r="I142" s="33"/>
      <c r="J142" s="33"/>
      <c r="K142" s="31"/>
      <c r="L142" s="33"/>
      <c r="M142" s="33"/>
      <c r="N142" s="31"/>
      <c r="O142" s="11"/>
      <c r="P142" s="114"/>
      <c r="Q142" s="114"/>
      <c r="R142" s="117"/>
      <c r="S142" s="33"/>
      <c r="T142" s="33"/>
      <c r="U142" s="33"/>
      <c r="V142" s="33"/>
    </row>
    <row r="143" spans="1:22" ht="21" hidden="1" customHeight="1">
      <c r="A143" s="31"/>
      <c r="B143" s="31"/>
      <c r="C143" s="33"/>
      <c r="D143" s="33"/>
      <c r="E143" s="33"/>
      <c r="F143" s="110"/>
      <c r="G143" s="33"/>
      <c r="H143" s="33"/>
      <c r="I143" s="33"/>
      <c r="J143" s="33"/>
      <c r="K143" s="31"/>
      <c r="L143" s="33"/>
      <c r="M143" s="33"/>
      <c r="N143" s="31"/>
      <c r="O143" s="11"/>
      <c r="P143" s="114"/>
      <c r="Q143" s="114"/>
      <c r="R143" s="117"/>
      <c r="S143" s="33"/>
      <c r="T143" s="33"/>
      <c r="U143" s="33"/>
      <c r="V143" s="33"/>
    </row>
    <row r="144" spans="1:22" ht="21" hidden="1" customHeight="1">
      <c r="A144" s="31"/>
      <c r="B144" s="31"/>
      <c r="C144" s="33"/>
      <c r="D144" s="33"/>
      <c r="E144" s="33"/>
      <c r="F144" s="110"/>
      <c r="G144" s="33"/>
      <c r="H144" s="33"/>
      <c r="I144" s="33"/>
      <c r="J144" s="33"/>
      <c r="K144" s="31"/>
      <c r="L144" s="33"/>
      <c r="M144" s="33"/>
      <c r="N144" s="31"/>
      <c r="O144" s="11"/>
      <c r="P144" s="114"/>
      <c r="Q144" s="114"/>
      <c r="R144" s="117"/>
      <c r="S144" s="33"/>
      <c r="T144" s="33"/>
      <c r="U144" s="33"/>
      <c r="V144" s="33"/>
    </row>
    <row r="145" spans="1:22" ht="21" hidden="1" customHeight="1">
      <c r="A145" s="31"/>
      <c r="B145" s="31"/>
      <c r="C145" s="33"/>
      <c r="D145" s="33"/>
      <c r="E145" s="33"/>
      <c r="F145" s="110"/>
      <c r="G145" s="33"/>
      <c r="H145" s="33"/>
      <c r="I145" s="33"/>
      <c r="J145" s="33"/>
      <c r="K145" s="31"/>
      <c r="L145" s="33"/>
      <c r="M145" s="33"/>
      <c r="N145" s="31"/>
      <c r="O145" s="11"/>
      <c r="P145" s="114"/>
      <c r="Q145" s="114"/>
      <c r="R145" s="117"/>
      <c r="S145" s="33"/>
      <c r="T145" s="33"/>
      <c r="U145" s="33"/>
      <c r="V145" s="33"/>
    </row>
    <row r="146" spans="1:22" ht="21" hidden="1" customHeight="1">
      <c r="A146" s="31"/>
      <c r="B146" s="31"/>
      <c r="C146" s="33"/>
      <c r="D146" s="33"/>
      <c r="E146" s="33"/>
      <c r="F146" s="110"/>
      <c r="G146" s="33"/>
      <c r="H146" s="33"/>
      <c r="I146" s="33"/>
      <c r="J146" s="33"/>
      <c r="K146" s="31"/>
      <c r="L146" s="33"/>
      <c r="M146" s="33"/>
      <c r="N146" s="31"/>
      <c r="O146" s="11"/>
      <c r="P146" s="114"/>
      <c r="Q146" s="114"/>
      <c r="R146" s="117"/>
      <c r="S146" s="33"/>
      <c r="T146" s="33"/>
      <c r="U146" s="33"/>
      <c r="V146" s="33"/>
    </row>
    <row r="147" spans="1:22" ht="21" hidden="1" customHeight="1">
      <c r="A147" s="31"/>
      <c r="B147" s="31"/>
      <c r="C147" s="33"/>
      <c r="D147" s="33"/>
      <c r="E147" s="33"/>
      <c r="F147" s="110"/>
      <c r="G147" s="33"/>
      <c r="H147" s="33"/>
      <c r="I147" s="33"/>
      <c r="J147" s="33"/>
      <c r="K147" s="31"/>
      <c r="L147" s="33"/>
      <c r="M147" s="33"/>
      <c r="N147" s="31"/>
      <c r="O147" s="11"/>
      <c r="P147" s="114"/>
      <c r="Q147" s="114"/>
      <c r="R147" s="117"/>
      <c r="S147" s="33"/>
      <c r="T147" s="33"/>
      <c r="U147" s="33"/>
      <c r="V147" s="33"/>
    </row>
    <row r="148" spans="1:22" ht="21" hidden="1" customHeight="1">
      <c r="A148" s="31"/>
      <c r="B148" s="31"/>
      <c r="C148" s="33"/>
      <c r="D148" s="33"/>
      <c r="E148" s="33"/>
      <c r="F148" s="110"/>
      <c r="G148" s="33"/>
      <c r="H148" s="33"/>
      <c r="I148" s="33"/>
      <c r="J148" s="33"/>
      <c r="K148" s="31"/>
      <c r="L148" s="33"/>
      <c r="M148" s="33"/>
      <c r="N148" s="31"/>
      <c r="O148" s="11"/>
      <c r="P148" s="114"/>
      <c r="Q148" s="114"/>
      <c r="R148" s="117"/>
      <c r="S148" s="33"/>
      <c r="T148" s="33"/>
      <c r="U148" s="33"/>
      <c r="V148" s="33"/>
    </row>
    <row r="149" spans="1:22" ht="21" hidden="1" customHeight="1">
      <c r="A149" s="31"/>
      <c r="B149" s="31"/>
      <c r="C149" s="33"/>
      <c r="D149" s="33"/>
      <c r="E149" s="33"/>
      <c r="F149" s="110"/>
      <c r="G149" s="33"/>
      <c r="H149" s="33"/>
      <c r="I149" s="33"/>
      <c r="J149" s="33"/>
      <c r="K149" s="31"/>
      <c r="L149" s="33"/>
      <c r="M149" s="33"/>
      <c r="N149" s="31"/>
      <c r="O149" s="11"/>
      <c r="P149" s="114"/>
      <c r="Q149" s="114"/>
      <c r="R149" s="117"/>
      <c r="S149" s="33"/>
      <c r="T149" s="33"/>
      <c r="U149" s="33"/>
      <c r="V149" s="33"/>
    </row>
    <row r="150" spans="1:22" ht="21" hidden="1" customHeight="1">
      <c r="A150" s="31"/>
      <c r="B150" s="31"/>
      <c r="C150" s="33"/>
      <c r="D150" s="33"/>
      <c r="E150" s="33"/>
      <c r="F150" s="110"/>
      <c r="G150" s="33"/>
      <c r="H150" s="33"/>
      <c r="I150" s="33"/>
      <c r="J150" s="33"/>
      <c r="K150" s="31"/>
      <c r="L150" s="33"/>
      <c r="M150" s="33"/>
      <c r="N150" s="31"/>
      <c r="O150" s="11"/>
      <c r="P150" s="114"/>
      <c r="Q150" s="114"/>
      <c r="R150" s="117"/>
      <c r="S150" s="33"/>
      <c r="T150" s="33"/>
      <c r="U150" s="33"/>
      <c r="V150" s="33"/>
    </row>
    <row r="151" spans="1:22" ht="21" hidden="1" customHeight="1">
      <c r="A151" s="31"/>
      <c r="B151" s="31"/>
      <c r="C151" s="33"/>
      <c r="D151" s="33"/>
      <c r="E151" s="33"/>
      <c r="F151" s="110"/>
      <c r="G151" s="33"/>
      <c r="H151" s="33"/>
      <c r="I151" s="33"/>
      <c r="J151" s="33"/>
      <c r="K151" s="31"/>
      <c r="L151" s="33"/>
      <c r="M151" s="33"/>
      <c r="N151" s="31"/>
      <c r="O151" s="11"/>
      <c r="P151" s="114"/>
      <c r="Q151" s="114"/>
      <c r="R151" s="117"/>
      <c r="S151" s="33"/>
      <c r="T151" s="33"/>
      <c r="U151" s="33"/>
      <c r="V151" s="33"/>
    </row>
    <row r="152" spans="1:22" ht="21" hidden="1" customHeight="1">
      <c r="A152" s="31"/>
      <c r="B152" s="31"/>
      <c r="C152" s="33"/>
      <c r="D152" s="33"/>
      <c r="E152" s="33"/>
      <c r="F152" s="110"/>
      <c r="G152" s="33"/>
      <c r="H152" s="33"/>
      <c r="I152" s="33"/>
      <c r="J152" s="33"/>
      <c r="K152" s="31"/>
      <c r="L152" s="33"/>
      <c r="M152" s="33"/>
      <c r="N152" s="31"/>
      <c r="O152" s="11"/>
      <c r="P152" s="114"/>
      <c r="Q152" s="114"/>
      <c r="R152" s="117"/>
      <c r="S152" s="33"/>
      <c r="T152" s="33"/>
      <c r="U152" s="33"/>
      <c r="V152" s="33"/>
    </row>
    <row r="153" spans="1:22" ht="21" hidden="1" customHeight="1">
      <c r="A153" s="31"/>
      <c r="B153" s="31"/>
      <c r="C153" s="33"/>
      <c r="D153" s="33"/>
      <c r="E153" s="33"/>
      <c r="F153" s="110"/>
      <c r="G153" s="33"/>
      <c r="H153" s="33"/>
      <c r="I153" s="33"/>
      <c r="J153" s="33"/>
      <c r="K153" s="31"/>
      <c r="L153" s="33"/>
      <c r="M153" s="33"/>
      <c r="N153" s="31"/>
      <c r="O153" s="11"/>
      <c r="P153" s="114"/>
      <c r="Q153" s="114"/>
      <c r="R153" s="117"/>
      <c r="S153" s="33"/>
      <c r="T153" s="33"/>
      <c r="U153" s="33"/>
      <c r="V153" s="33"/>
    </row>
    <row r="154" spans="1:22" ht="21" hidden="1" customHeight="1">
      <c r="A154" s="31"/>
      <c r="B154" s="31"/>
      <c r="C154" s="33"/>
      <c r="D154" s="33"/>
      <c r="E154" s="33"/>
      <c r="F154" s="110"/>
      <c r="G154" s="33"/>
      <c r="H154" s="33"/>
      <c r="I154" s="33"/>
      <c r="J154" s="33"/>
      <c r="K154" s="31"/>
      <c r="L154" s="33"/>
      <c r="M154" s="33"/>
      <c r="N154" s="31"/>
      <c r="O154" s="11"/>
      <c r="P154" s="114"/>
      <c r="Q154" s="114"/>
      <c r="R154" s="117"/>
      <c r="S154" s="33"/>
      <c r="T154" s="33"/>
      <c r="U154" s="33"/>
      <c r="V154" s="33"/>
    </row>
    <row r="155" spans="1:22" ht="21" hidden="1" customHeight="1">
      <c r="A155" s="31"/>
      <c r="B155" s="31"/>
      <c r="C155" s="33"/>
      <c r="D155" s="33"/>
      <c r="E155" s="33"/>
      <c r="F155" s="110"/>
      <c r="G155" s="33"/>
      <c r="H155" s="33"/>
      <c r="I155" s="33"/>
      <c r="J155" s="33"/>
      <c r="K155" s="31"/>
      <c r="L155" s="33"/>
      <c r="M155" s="33"/>
      <c r="N155" s="31"/>
      <c r="O155" s="11"/>
      <c r="P155" s="114"/>
      <c r="Q155" s="114"/>
      <c r="R155" s="117"/>
      <c r="S155" s="33"/>
      <c r="T155" s="33"/>
      <c r="U155" s="33"/>
      <c r="V155" s="33"/>
    </row>
    <row r="156" spans="1:22" ht="21" hidden="1" customHeight="1">
      <c r="A156" s="31"/>
      <c r="B156" s="31"/>
      <c r="C156" s="33"/>
      <c r="D156" s="33"/>
      <c r="E156" s="33"/>
      <c r="F156" s="110"/>
      <c r="G156" s="33"/>
      <c r="H156" s="33"/>
      <c r="I156" s="33"/>
      <c r="J156" s="33"/>
      <c r="K156" s="31"/>
      <c r="L156" s="33"/>
      <c r="M156" s="33"/>
      <c r="N156" s="31"/>
      <c r="O156" s="11"/>
      <c r="P156" s="114"/>
      <c r="Q156" s="114"/>
      <c r="R156" s="117"/>
      <c r="S156" s="33"/>
      <c r="T156" s="33"/>
      <c r="U156" s="33"/>
      <c r="V156" s="33"/>
    </row>
    <row r="157" spans="1:22" ht="21" hidden="1" customHeight="1">
      <c r="A157" s="31"/>
      <c r="B157" s="31"/>
      <c r="C157" s="33"/>
      <c r="D157" s="33"/>
      <c r="E157" s="33"/>
      <c r="F157" s="110"/>
      <c r="G157" s="33"/>
      <c r="H157" s="33"/>
      <c r="I157" s="33"/>
      <c r="J157" s="33"/>
      <c r="K157" s="31"/>
      <c r="L157" s="33"/>
      <c r="M157" s="33"/>
      <c r="N157" s="31"/>
      <c r="O157" s="11"/>
      <c r="P157" s="114"/>
      <c r="Q157" s="114"/>
      <c r="R157" s="117"/>
      <c r="S157" s="33"/>
      <c r="T157" s="33"/>
      <c r="U157" s="33"/>
      <c r="V157" s="33"/>
    </row>
    <row r="158" spans="1:22" ht="21" hidden="1" customHeight="1">
      <c r="A158" s="31"/>
      <c r="B158" s="31"/>
      <c r="C158" s="33"/>
      <c r="D158" s="33"/>
      <c r="E158" s="33"/>
      <c r="F158" s="110"/>
      <c r="G158" s="33"/>
      <c r="H158" s="33"/>
      <c r="I158" s="33"/>
      <c r="J158" s="33"/>
      <c r="K158" s="31"/>
      <c r="L158" s="33"/>
      <c r="M158" s="33"/>
      <c r="N158" s="31"/>
      <c r="O158" s="11"/>
      <c r="P158" s="114"/>
      <c r="Q158" s="114"/>
      <c r="R158" s="117"/>
      <c r="S158" s="33"/>
      <c r="T158" s="33"/>
      <c r="U158" s="33"/>
      <c r="V158" s="33"/>
    </row>
    <row r="159" spans="1:22" ht="21" hidden="1" customHeight="1">
      <c r="A159" s="31"/>
      <c r="B159" s="31"/>
      <c r="C159" s="33"/>
      <c r="D159" s="33"/>
      <c r="E159" s="33"/>
      <c r="F159" s="110"/>
      <c r="G159" s="33"/>
      <c r="H159" s="33"/>
      <c r="I159" s="33"/>
      <c r="J159" s="33"/>
      <c r="K159" s="31"/>
      <c r="L159" s="33"/>
      <c r="M159" s="33"/>
      <c r="N159" s="31"/>
      <c r="O159" s="11"/>
      <c r="P159" s="114"/>
      <c r="Q159" s="114"/>
      <c r="R159" s="117"/>
      <c r="S159" s="33"/>
      <c r="T159" s="33"/>
      <c r="U159" s="33"/>
      <c r="V159" s="33"/>
    </row>
    <row r="160" spans="1:22" ht="21" hidden="1" customHeight="1">
      <c r="A160" s="31"/>
      <c r="B160" s="31"/>
      <c r="C160" s="33"/>
      <c r="D160" s="33"/>
      <c r="E160" s="33"/>
      <c r="F160" s="110"/>
      <c r="G160" s="33"/>
      <c r="H160" s="33"/>
      <c r="I160" s="33"/>
      <c r="J160" s="33"/>
      <c r="K160" s="31"/>
      <c r="L160" s="33"/>
      <c r="M160" s="33"/>
      <c r="N160" s="31"/>
      <c r="O160" s="11"/>
      <c r="P160" s="114"/>
      <c r="Q160" s="114"/>
      <c r="R160" s="117"/>
      <c r="S160" s="33"/>
      <c r="T160" s="33"/>
      <c r="U160" s="33"/>
      <c r="V160" s="33"/>
    </row>
    <row r="161" spans="1:22" ht="21" hidden="1" customHeight="1">
      <c r="A161" s="31"/>
      <c r="B161" s="31"/>
      <c r="C161" s="33"/>
      <c r="D161" s="33"/>
      <c r="E161" s="33"/>
      <c r="F161" s="110"/>
      <c r="G161" s="33"/>
      <c r="H161" s="33"/>
      <c r="I161" s="33"/>
      <c r="J161" s="33"/>
      <c r="K161" s="31"/>
      <c r="L161" s="33"/>
      <c r="M161" s="33"/>
      <c r="N161" s="31"/>
      <c r="O161" s="11"/>
      <c r="P161" s="114"/>
      <c r="Q161" s="114"/>
      <c r="R161" s="117"/>
      <c r="S161" s="33"/>
      <c r="T161" s="33"/>
      <c r="U161" s="33"/>
      <c r="V161" s="33"/>
    </row>
    <row r="162" spans="1:22" ht="21" hidden="1" customHeight="1">
      <c r="A162" s="31"/>
      <c r="B162" s="31"/>
      <c r="C162" s="33"/>
      <c r="D162" s="33"/>
      <c r="E162" s="33"/>
      <c r="F162" s="110"/>
      <c r="G162" s="33"/>
      <c r="H162" s="33"/>
      <c r="I162" s="33"/>
      <c r="J162" s="33"/>
      <c r="K162" s="31"/>
      <c r="L162" s="33"/>
      <c r="M162" s="33"/>
      <c r="N162" s="31"/>
      <c r="O162" s="11"/>
      <c r="P162" s="114"/>
      <c r="Q162" s="114"/>
      <c r="R162" s="117"/>
      <c r="S162" s="33"/>
      <c r="T162" s="33"/>
      <c r="U162" s="33"/>
      <c r="V162" s="33"/>
    </row>
    <row r="163" spans="1:22" ht="21" hidden="1" customHeight="1">
      <c r="A163" s="31"/>
      <c r="B163" s="31"/>
      <c r="C163" s="33"/>
      <c r="D163" s="33"/>
      <c r="E163" s="33"/>
      <c r="F163" s="110"/>
      <c r="G163" s="33"/>
      <c r="H163" s="33"/>
      <c r="I163" s="33"/>
      <c r="J163" s="33"/>
      <c r="K163" s="31"/>
      <c r="L163" s="33"/>
      <c r="M163" s="33"/>
      <c r="N163" s="31"/>
      <c r="O163" s="11"/>
      <c r="P163" s="114"/>
      <c r="Q163" s="114"/>
      <c r="R163" s="117"/>
      <c r="S163" s="33"/>
      <c r="T163" s="33"/>
      <c r="U163" s="33"/>
      <c r="V163" s="33"/>
    </row>
    <row r="164" spans="1:22" ht="21" hidden="1" customHeight="1">
      <c r="A164" s="31"/>
      <c r="B164" s="31"/>
      <c r="C164" s="33"/>
      <c r="D164" s="33"/>
      <c r="E164" s="33"/>
      <c r="F164" s="110"/>
      <c r="G164" s="33"/>
      <c r="H164" s="33"/>
      <c r="I164" s="33"/>
      <c r="J164" s="33"/>
      <c r="K164" s="31"/>
      <c r="L164" s="33"/>
      <c r="M164" s="33"/>
      <c r="N164" s="31"/>
      <c r="O164" s="11"/>
      <c r="P164" s="114"/>
      <c r="Q164" s="114"/>
      <c r="R164" s="117"/>
      <c r="S164" s="33"/>
      <c r="T164" s="33"/>
      <c r="U164" s="33"/>
      <c r="V164" s="33"/>
    </row>
    <row r="165" spans="1:22" ht="21" hidden="1" customHeight="1">
      <c r="A165" s="31"/>
      <c r="B165" s="31"/>
      <c r="C165" s="33"/>
      <c r="D165" s="33"/>
      <c r="E165" s="33"/>
      <c r="F165" s="110"/>
      <c r="G165" s="33"/>
      <c r="H165" s="33"/>
      <c r="I165" s="33"/>
      <c r="J165" s="33"/>
      <c r="K165" s="31"/>
      <c r="L165" s="33"/>
      <c r="M165" s="33"/>
      <c r="N165" s="31"/>
      <c r="O165" s="11"/>
      <c r="P165" s="114"/>
      <c r="Q165" s="114"/>
      <c r="R165" s="117"/>
      <c r="S165" s="33"/>
      <c r="T165" s="33"/>
      <c r="U165" s="33"/>
      <c r="V165" s="33"/>
    </row>
    <row r="166" spans="1:22" ht="21" hidden="1" customHeight="1">
      <c r="A166" s="31"/>
      <c r="B166" s="31"/>
      <c r="C166" s="33"/>
      <c r="D166" s="33"/>
      <c r="E166" s="33"/>
      <c r="F166" s="110"/>
      <c r="G166" s="33"/>
      <c r="H166" s="33"/>
      <c r="I166" s="33"/>
      <c r="J166" s="33"/>
      <c r="K166" s="31"/>
      <c r="L166" s="33"/>
      <c r="M166" s="33"/>
      <c r="N166" s="31"/>
      <c r="O166" s="11"/>
      <c r="P166" s="114"/>
      <c r="Q166" s="114"/>
      <c r="R166" s="117"/>
      <c r="S166" s="33"/>
      <c r="T166" s="33"/>
      <c r="U166" s="33"/>
      <c r="V166" s="33"/>
    </row>
    <row r="167" spans="1:22" ht="21" hidden="1" customHeight="1">
      <c r="A167" s="31"/>
      <c r="B167" s="31"/>
      <c r="C167" s="33"/>
      <c r="D167" s="33"/>
      <c r="E167" s="33"/>
      <c r="F167" s="110"/>
      <c r="G167" s="33"/>
      <c r="H167" s="33"/>
      <c r="I167" s="33"/>
      <c r="J167" s="33"/>
      <c r="K167" s="31"/>
      <c r="L167" s="33"/>
      <c r="M167" s="33"/>
      <c r="N167" s="31"/>
      <c r="O167" s="11"/>
      <c r="P167" s="114"/>
      <c r="Q167" s="114"/>
      <c r="R167" s="117"/>
      <c r="S167" s="33"/>
      <c r="T167" s="33"/>
      <c r="U167" s="33"/>
      <c r="V167" s="33"/>
    </row>
    <row r="168" spans="1:22" ht="21" hidden="1" customHeight="1">
      <c r="A168" s="31"/>
      <c r="B168" s="31"/>
      <c r="C168" s="33"/>
      <c r="D168" s="33"/>
      <c r="E168" s="33"/>
      <c r="F168" s="110"/>
      <c r="G168" s="33"/>
      <c r="H168" s="33"/>
      <c r="I168" s="33"/>
      <c r="J168" s="33"/>
      <c r="K168" s="31"/>
      <c r="L168" s="33"/>
      <c r="M168" s="33"/>
      <c r="N168" s="31"/>
      <c r="O168" s="11"/>
      <c r="P168" s="114"/>
      <c r="Q168" s="114"/>
      <c r="R168" s="117"/>
      <c r="S168" s="33"/>
      <c r="T168" s="33"/>
      <c r="U168" s="33"/>
      <c r="V168" s="33"/>
    </row>
    <row r="169" spans="1:22" ht="21" hidden="1" customHeight="1">
      <c r="A169" s="31"/>
      <c r="B169" s="31"/>
      <c r="C169" s="33"/>
      <c r="D169" s="33"/>
      <c r="E169" s="33"/>
      <c r="F169" s="110"/>
      <c r="G169" s="33"/>
      <c r="H169" s="33"/>
      <c r="I169" s="33"/>
      <c r="J169" s="33"/>
      <c r="K169" s="31"/>
      <c r="L169" s="33"/>
      <c r="M169" s="33"/>
      <c r="N169" s="31"/>
      <c r="O169" s="11"/>
      <c r="P169" s="114"/>
      <c r="Q169" s="114"/>
      <c r="R169" s="117"/>
      <c r="S169" s="33"/>
      <c r="T169" s="33"/>
      <c r="U169" s="33"/>
      <c r="V169" s="33"/>
    </row>
    <row r="170" spans="1:22" ht="21" hidden="1" customHeight="1">
      <c r="A170" s="31"/>
      <c r="B170" s="31"/>
      <c r="C170" s="33"/>
      <c r="D170" s="33"/>
      <c r="E170" s="33"/>
      <c r="F170" s="110"/>
      <c r="G170" s="33"/>
      <c r="H170" s="33"/>
      <c r="I170" s="33"/>
      <c r="J170" s="33"/>
      <c r="K170" s="31"/>
      <c r="L170" s="33"/>
      <c r="M170" s="33"/>
      <c r="N170" s="31"/>
      <c r="O170" s="11"/>
      <c r="P170" s="114"/>
      <c r="Q170" s="114"/>
      <c r="R170" s="117"/>
      <c r="S170" s="33"/>
      <c r="T170" s="33"/>
      <c r="U170" s="33"/>
      <c r="V170" s="33"/>
    </row>
    <row r="171" spans="1:22" ht="21" hidden="1" customHeight="1">
      <c r="A171" s="31"/>
      <c r="B171" s="31"/>
      <c r="C171" s="33"/>
      <c r="D171" s="33"/>
      <c r="E171" s="33"/>
      <c r="F171" s="110"/>
      <c r="G171" s="33"/>
      <c r="H171" s="33"/>
      <c r="I171" s="33"/>
      <c r="J171" s="33"/>
      <c r="K171" s="31"/>
      <c r="L171" s="33"/>
      <c r="M171" s="33"/>
      <c r="N171" s="31"/>
      <c r="O171" s="11"/>
      <c r="P171" s="114"/>
      <c r="Q171" s="114"/>
      <c r="R171" s="117"/>
      <c r="S171" s="33"/>
      <c r="T171" s="33"/>
      <c r="U171" s="33"/>
      <c r="V171" s="33"/>
    </row>
    <row r="172" spans="1:22" ht="21" hidden="1" customHeight="1">
      <c r="A172" s="31"/>
      <c r="B172" s="31"/>
      <c r="C172" s="33"/>
      <c r="D172" s="33"/>
      <c r="E172" s="33"/>
      <c r="F172" s="110"/>
      <c r="G172" s="33"/>
      <c r="H172" s="33"/>
      <c r="I172" s="33"/>
      <c r="J172" s="33"/>
      <c r="K172" s="31"/>
      <c r="L172" s="33"/>
      <c r="M172" s="33"/>
      <c r="N172" s="31"/>
      <c r="O172" s="11"/>
      <c r="P172" s="114"/>
      <c r="Q172" s="114"/>
      <c r="R172" s="117"/>
      <c r="S172" s="33"/>
      <c r="T172" s="33"/>
      <c r="U172" s="33"/>
      <c r="V172" s="33"/>
    </row>
    <row r="173" spans="1:22" ht="21" hidden="1" customHeight="1">
      <c r="A173" s="31"/>
      <c r="B173" s="31"/>
      <c r="C173" s="33"/>
      <c r="D173" s="33"/>
      <c r="E173" s="33"/>
      <c r="F173" s="110"/>
      <c r="G173" s="33"/>
      <c r="H173" s="33"/>
      <c r="I173" s="33"/>
      <c r="J173" s="33"/>
      <c r="K173" s="31"/>
      <c r="L173" s="33"/>
      <c r="M173" s="33"/>
      <c r="N173" s="31"/>
      <c r="O173" s="11"/>
      <c r="P173" s="114"/>
      <c r="Q173" s="114"/>
      <c r="R173" s="117"/>
      <c r="S173" s="33"/>
      <c r="T173" s="33"/>
      <c r="U173" s="33"/>
      <c r="V173" s="33"/>
    </row>
    <row r="174" spans="1:22" ht="21" hidden="1" customHeight="1">
      <c r="A174" s="31"/>
      <c r="B174" s="31"/>
      <c r="C174" s="33"/>
      <c r="D174" s="33"/>
      <c r="E174" s="33"/>
      <c r="F174" s="110"/>
      <c r="G174" s="33"/>
      <c r="H174" s="33"/>
      <c r="I174" s="33"/>
      <c r="J174" s="33"/>
      <c r="K174" s="31"/>
      <c r="L174" s="33"/>
      <c r="M174" s="33"/>
      <c r="N174" s="31"/>
      <c r="O174" s="11"/>
      <c r="P174" s="114"/>
      <c r="Q174" s="114"/>
      <c r="R174" s="117"/>
      <c r="S174" s="33"/>
      <c r="T174" s="33"/>
      <c r="U174" s="33"/>
      <c r="V174" s="33"/>
    </row>
    <row r="175" spans="1:22" ht="21" hidden="1" customHeight="1">
      <c r="A175" s="31"/>
      <c r="B175" s="31"/>
      <c r="C175" s="33"/>
      <c r="D175" s="33"/>
      <c r="E175" s="33"/>
      <c r="F175" s="110"/>
      <c r="G175" s="33"/>
      <c r="H175" s="33"/>
      <c r="I175" s="33"/>
      <c r="J175" s="33"/>
      <c r="K175" s="31"/>
      <c r="L175" s="33"/>
      <c r="M175" s="33"/>
      <c r="N175" s="31"/>
      <c r="O175" s="11"/>
      <c r="P175" s="114"/>
      <c r="Q175" s="114"/>
      <c r="R175" s="117"/>
      <c r="S175" s="33"/>
      <c r="T175" s="33"/>
      <c r="U175" s="33"/>
      <c r="V175" s="33"/>
    </row>
    <row r="176" spans="1:22" ht="21" hidden="1" customHeight="1">
      <c r="A176" s="31"/>
      <c r="B176" s="31"/>
      <c r="C176" s="33"/>
      <c r="D176" s="33"/>
      <c r="E176" s="33"/>
      <c r="F176" s="110"/>
      <c r="G176" s="33"/>
      <c r="H176" s="33"/>
      <c r="I176" s="33"/>
      <c r="J176" s="33"/>
      <c r="K176" s="31"/>
      <c r="L176" s="33"/>
      <c r="M176" s="33"/>
      <c r="N176" s="31"/>
      <c r="O176" s="11"/>
      <c r="P176" s="114"/>
      <c r="Q176" s="114"/>
      <c r="R176" s="117"/>
      <c r="S176" s="33"/>
      <c r="T176" s="33"/>
      <c r="U176" s="33"/>
      <c r="V176" s="33"/>
    </row>
    <row r="177" spans="1:22" ht="21" hidden="1" customHeight="1">
      <c r="A177" s="31"/>
      <c r="B177" s="31"/>
      <c r="C177" s="33"/>
      <c r="D177" s="33"/>
      <c r="E177" s="33"/>
      <c r="F177" s="110"/>
      <c r="G177" s="33"/>
      <c r="H177" s="33"/>
      <c r="I177" s="33"/>
      <c r="J177" s="33"/>
      <c r="K177" s="31"/>
      <c r="L177" s="33"/>
      <c r="M177" s="33"/>
      <c r="N177" s="31"/>
      <c r="O177" s="11"/>
      <c r="P177" s="114"/>
      <c r="Q177" s="114"/>
      <c r="R177" s="117"/>
      <c r="S177" s="33"/>
      <c r="T177" s="33"/>
      <c r="U177" s="33"/>
      <c r="V177" s="33"/>
    </row>
    <row r="178" spans="1:22" ht="21" hidden="1" customHeight="1">
      <c r="A178" s="31"/>
      <c r="B178" s="31"/>
      <c r="C178" s="33"/>
      <c r="D178" s="33"/>
      <c r="E178" s="33"/>
      <c r="F178" s="110"/>
      <c r="G178" s="33"/>
      <c r="H178" s="33"/>
      <c r="I178" s="33"/>
      <c r="J178" s="33"/>
      <c r="K178" s="31"/>
      <c r="L178" s="33"/>
      <c r="M178" s="33"/>
      <c r="N178" s="31"/>
      <c r="O178" s="11"/>
      <c r="P178" s="114"/>
      <c r="Q178" s="114"/>
      <c r="R178" s="117"/>
      <c r="S178" s="33"/>
      <c r="T178" s="33"/>
      <c r="U178" s="33"/>
      <c r="V178" s="33"/>
    </row>
    <row r="179" spans="1:22" ht="21" hidden="1" customHeight="1">
      <c r="A179" s="31"/>
      <c r="B179" s="31"/>
      <c r="C179" s="33"/>
      <c r="D179" s="33"/>
      <c r="E179" s="33"/>
      <c r="F179" s="110"/>
      <c r="G179" s="33"/>
      <c r="H179" s="33"/>
      <c r="I179" s="33"/>
      <c r="J179" s="33"/>
      <c r="K179" s="31"/>
      <c r="L179" s="33"/>
      <c r="M179" s="33"/>
      <c r="N179" s="31"/>
      <c r="O179" s="11"/>
      <c r="P179" s="114"/>
      <c r="Q179" s="114"/>
      <c r="R179" s="117"/>
      <c r="S179" s="33"/>
      <c r="T179" s="33"/>
      <c r="U179" s="33"/>
      <c r="V179" s="33"/>
    </row>
    <row r="180" spans="1:22" ht="21" hidden="1" customHeight="1">
      <c r="A180" s="31"/>
      <c r="B180" s="31"/>
      <c r="C180" s="33"/>
      <c r="D180" s="33"/>
      <c r="E180" s="33"/>
      <c r="F180" s="110"/>
      <c r="G180" s="33"/>
      <c r="H180" s="33"/>
      <c r="I180" s="33"/>
      <c r="J180" s="33"/>
      <c r="K180" s="31"/>
      <c r="L180" s="33"/>
      <c r="M180" s="33"/>
      <c r="N180" s="31"/>
      <c r="O180" s="11"/>
      <c r="P180" s="114"/>
      <c r="Q180" s="114"/>
      <c r="R180" s="117"/>
      <c r="S180" s="33"/>
      <c r="T180" s="33"/>
      <c r="U180" s="33"/>
      <c r="V180" s="33"/>
    </row>
    <row r="181" spans="1:22" ht="21" hidden="1" customHeight="1">
      <c r="A181" s="31"/>
      <c r="B181" s="31"/>
      <c r="C181" s="33"/>
      <c r="D181" s="33"/>
      <c r="E181" s="33"/>
      <c r="F181" s="110"/>
      <c r="G181" s="33"/>
      <c r="H181" s="33"/>
      <c r="I181" s="33"/>
      <c r="J181" s="33"/>
      <c r="K181" s="31"/>
      <c r="L181" s="33"/>
      <c r="M181" s="33"/>
      <c r="N181" s="31"/>
      <c r="O181" s="11"/>
      <c r="P181" s="114"/>
      <c r="Q181" s="114"/>
      <c r="R181" s="117"/>
      <c r="S181" s="33"/>
      <c r="T181" s="33"/>
      <c r="U181" s="33"/>
      <c r="V181" s="33"/>
    </row>
    <row r="182" spans="1:22" ht="21" hidden="1" customHeight="1">
      <c r="A182" s="31"/>
      <c r="B182" s="31"/>
      <c r="C182" s="33"/>
      <c r="D182" s="33"/>
      <c r="E182" s="33"/>
      <c r="F182" s="110"/>
      <c r="G182" s="33"/>
      <c r="H182" s="33"/>
      <c r="I182" s="33"/>
      <c r="J182" s="33"/>
      <c r="K182" s="31"/>
      <c r="L182" s="33"/>
      <c r="M182" s="33"/>
      <c r="N182" s="31"/>
      <c r="O182" s="11"/>
      <c r="P182" s="114"/>
      <c r="Q182" s="114"/>
      <c r="R182" s="117"/>
      <c r="S182" s="33"/>
      <c r="T182" s="33"/>
      <c r="U182" s="33"/>
      <c r="V182" s="33"/>
    </row>
    <row r="183" spans="1:22" ht="21" hidden="1" customHeight="1">
      <c r="A183" s="31"/>
      <c r="B183" s="31"/>
      <c r="C183" s="33"/>
      <c r="D183" s="33"/>
      <c r="E183" s="33"/>
      <c r="F183" s="110"/>
      <c r="G183" s="33"/>
      <c r="H183" s="33"/>
      <c r="I183" s="33"/>
      <c r="J183" s="33"/>
      <c r="K183" s="31"/>
      <c r="L183" s="33"/>
      <c r="M183" s="33"/>
      <c r="N183" s="31"/>
      <c r="O183" s="11"/>
      <c r="P183" s="114"/>
      <c r="Q183" s="114"/>
      <c r="R183" s="117"/>
      <c r="S183" s="33"/>
      <c r="T183" s="33"/>
      <c r="U183" s="33"/>
      <c r="V183" s="33"/>
    </row>
    <row r="184" spans="1:22" ht="21" hidden="1" customHeight="1">
      <c r="A184" s="31"/>
      <c r="B184" s="31"/>
      <c r="C184" s="33"/>
      <c r="D184" s="33"/>
      <c r="E184" s="33"/>
      <c r="F184" s="110"/>
      <c r="G184" s="33"/>
      <c r="H184" s="33"/>
      <c r="I184" s="33"/>
      <c r="J184" s="33"/>
      <c r="K184" s="31"/>
      <c r="L184" s="33"/>
      <c r="M184" s="33"/>
      <c r="N184" s="31"/>
      <c r="O184" s="11"/>
      <c r="P184" s="114"/>
      <c r="Q184" s="114"/>
      <c r="R184" s="117"/>
      <c r="S184" s="33"/>
      <c r="T184" s="33"/>
      <c r="U184" s="33"/>
      <c r="V184" s="33"/>
    </row>
    <row r="185" spans="1:22" ht="21" hidden="1" customHeight="1">
      <c r="A185" s="31"/>
      <c r="B185" s="31"/>
      <c r="C185" s="33"/>
      <c r="D185" s="33"/>
      <c r="E185" s="33"/>
      <c r="F185" s="110"/>
      <c r="G185" s="33"/>
      <c r="H185" s="33"/>
      <c r="I185" s="33"/>
      <c r="J185" s="33"/>
      <c r="K185" s="31"/>
      <c r="L185" s="33"/>
      <c r="M185" s="33"/>
      <c r="N185" s="31"/>
      <c r="O185" s="11"/>
      <c r="P185" s="114"/>
      <c r="Q185" s="114"/>
      <c r="R185" s="117"/>
      <c r="S185" s="33"/>
      <c r="T185" s="33"/>
      <c r="U185" s="33"/>
      <c r="V185" s="33"/>
    </row>
    <row r="186" spans="1:22" ht="21" hidden="1" customHeight="1">
      <c r="A186" s="31"/>
      <c r="B186" s="31"/>
      <c r="C186" s="33"/>
      <c r="D186" s="33"/>
      <c r="E186" s="33"/>
      <c r="F186" s="110"/>
      <c r="G186" s="33"/>
      <c r="H186" s="33"/>
      <c r="I186" s="33"/>
      <c r="J186" s="33"/>
      <c r="K186" s="31"/>
      <c r="L186" s="33"/>
      <c r="M186" s="33"/>
      <c r="N186" s="31"/>
      <c r="O186" s="11"/>
      <c r="P186" s="114"/>
      <c r="Q186" s="114"/>
      <c r="R186" s="117"/>
      <c r="S186" s="33"/>
      <c r="T186" s="33"/>
      <c r="U186" s="33"/>
      <c r="V186" s="33"/>
    </row>
    <row r="187" spans="1:22" ht="21" hidden="1" customHeight="1">
      <c r="A187" s="31"/>
      <c r="B187" s="31"/>
      <c r="C187" s="33"/>
      <c r="D187" s="33"/>
      <c r="E187" s="33"/>
      <c r="F187" s="110"/>
      <c r="G187" s="33"/>
      <c r="H187" s="33"/>
      <c r="I187" s="33"/>
      <c r="J187" s="33"/>
      <c r="K187" s="31"/>
      <c r="L187" s="33"/>
      <c r="M187" s="33"/>
      <c r="N187" s="31"/>
      <c r="O187" s="11"/>
      <c r="P187" s="114"/>
      <c r="Q187" s="114"/>
      <c r="R187" s="117"/>
      <c r="S187" s="33"/>
      <c r="T187" s="33"/>
      <c r="U187" s="33"/>
      <c r="V187" s="33"/>
    </row>
    <row r="188" spans="1:22" ht="21" hidden="1" customHeight="1">
      <c r="A188" s="31"/>
      <c r="B188" s="31"/>
      <c r="C188" s="33"/>
      <c r="D188" s="33"/>
      <c r="E188" s="33"/>
      <c r="F188" s="110"/>
      <c r="G188" s="33"/>
      <c r="H188" s="33"/>
      <c r="I188" s="33"/>
      <c r="J188" s="33"/>
      <c r="K188" s="31"/>
      <c r="L188" s="33"/>
      <c r="M188" s="33"/>
      <c r="N188" s="31"/>
      <c r="O188" s="11"/>
      <c r="P188" s="114"/>
      <c r="Q188" s="114"/>
      <c r="R188" s="117"/>
      <c r="S188" s="33"/>
      <c r="T188" s="33"/>
      <c r="U188" s="33"/>
      <c r="V188" s="33"/>
    </row>
    <row r="189" spans="1:22" ht="21" hidden="1" customHeight="1">
      <c r="A189" s="31"/>
      <c r="B189" s="31"/>
      <c r="C189" s="33"/>
      <c r="D189" s="33"/>
      <c r="E189" s="33"/>
      <c r="F189" s="110"/>
      <c r="G189" s="33"/>
      <c r="H189" s="33"/>
      <c r="I189" s="33"/>
      <c r="J189" s="33"/>
      <c r="K189" s="31"/>
      <c r="L189" s="33"/>
      <c r="M189" s="33"/>
      <c r="N189" s="31"/>
      <c r="O189" s="11"/>
      <c r="P189" s="114"/>
      <c r="Q189" s="114"/>
      <c r="R189" s="117"/>
      <c r="S189" s="33"/>
      <c r="T189" s="33"/>
      <c r="U189" s="33"/>
      <c r="V189" s="33"/>
    </row>
    <row r="190" spans="1:22" ht="21" hidden="1" customHeight="1">
      <c r="A190" s="31"/>
      <c r="B190" s="31"/>
      <c r="C190" s="33"/>
      <c r="D190" s="33"/>
      <c r="E190" s="33"/>
      <c r="F190" s="110"/>
      <c r="G190" s="33"/>
      <c r="H190" s="33"/>
      <c r="I190" s="33"/>
      <c r="J190" s="33"/>
      <c r="K190" s="31"/>
      <c r="L190" s="33"/>
      <c r="M190" s="33"/>
      <c r="N190" s="31"/>
      <c r="O190" s="11"/>
      <c r="P190" s="114"/>
      <c r="Q190" s="114"/>
      <c r="R190" s="117"/>
      <c r="S190" s="33"/>
      <c r="T190" s="33"/>
      <c r="U190" s="33"/>
      <c r="V190" s="33"/>
    </row>
    <row r="191" spans="1:22" ht="21" hidden="1" customHeight="1">
      <c r="A191" s="31"/>
      <c r="B191" s="31"/>
      <c r="C191" s="33"/>
      <c r="D191" s="33"/>
      <c r="E191" s="33"/>
      <c r="F191" s="110"/>
      <c r="G191" s="33"/>
      <c r="H191" s="33"/>
      <c r="I191" s="33"/>
      <c r="J191" s="33"/>
      <c r="K191" s="31"/>
      <c r="L191" s="33"/>
      <c r="M191" s="33"/>
      <c r="N191" s="31"/>
      <c r="O191" s="11"/>
      <c r="P191" s="114"/>
      <c r="Q191" s="114"/>
      <c r="R191" s="117"/>
      <c r="S191" s="33"/>
      <c r="T191" s="33"/>
      <c r="U191" s="33"/>
      <c r="V191" s="33"/>
    </row>
    <row r="192" spans="1:22" ht="21" hidden="1" customHeight="1">
      <c r="A192" s="31"/>
      <c r="B192" s="31"/>
      <c r="C192" s="33"/>
      <c r="D192" s="33"/>
      <c r="E192" s="33"/>
      <c r="F192" s="110"/>
      <c r="G192" s="33"/>
      <c r="H192" s="33"/>
      <c r="I192" s="33"/>
      <c r="J192" s="33"/>
      <c r="K192" s="31"/>
      <c r="L192" s="33"/>
      <c r="M192" s="33"/>
      <c r="N192" s="31"/>
      <c r="O192" s="11"/>
      <c r="P192" s="114"/>
      <c r="Q192" s="114"/>
      <c r="R192" s="117"/>
      <c r="S192" s="33"/>
      <c r="T192" s="33"/>
      <c r="U192" s="33"/>
      <c r="V192" s="33"/>
    </row>
    <row r="193" spans="1:22" ht="21" hidden="1" customHeight="1">
      <c r="A193" s="31"/>
      <c r="B193" s="31"/>
      <c r="C193" s="33"/>
      <c r="D193" s="33"/>
      <c r="E193" s="33"/>
      <c r="F193" s="110"/>
      <c r="G193" s="33"/>
      <c r="H193" s="33"/>
      <c r="I193" s="33"/>
      <c r="J193" s="33"/>
      <c r="K193" s="31"/>
      <c r="L193" s="33"/>
      <c r="M193" s="33"/>
      <c r="N193" s="31"/>
      <c r="O193" s="11"/>
      <c r="P193" s="114"/>
      <c r="Q193" s="114"/>
      <c r="R193" s="117"/>
      <c r="S193" s="33"/>
      <c r="T193" s="33"/>
      <c r="U193" s="33"/>
      <c r="V193" s="33"/>
    </row>
    <row r="194" spans="1:22" ht="21" hidden="1" customHeight="1">
      <c r="A194" s="31"/>
      <c r="B194" s="31"/>
      <c r="C194" s="33"/>
      <c r="D194" s="33"/>
      <c r="E194" s="33"/>
      <c r="F194" s="110"/>
      <c r="G194" s="33"/>
      <c r="H194" s="33"/>
      <c r="I194" s="33"/>
      <c r="J194" s="33"/>
      <c r="K194" s="31"/>
      <c r="L194" s="33"/>
      <c r="M194" s="33"/>
      <c r="N194" s="31"/>
      <c r="O194" s="11"/>
      <c r="P194" s="114"/>
      <c r="Q194" s="114"/>
      <c r="R194" s="117"/>
      <c r="S194" s="33"/>
      <c r="T194" s="33"/>
      <c r="U194" s="33"/>
      <c r="V194" s="33"/>
    </row>
    <row r="195" spans="1:22" ht="21" hidden="1" customHeight="1">
      <c r="A195" s="31"/>
      <c r="B195" s="31"/>
      <c r="C195" s="33"/>
      <c r="D195" s="33"/>
      <c r="E195" s="33"/>
      <c r="F195" s="110"/>
      <c r="G195" s="33"/>
      <c r="H195" s="33"/>
      <c r="I195" s="33"/>
      <c r="J195" s="33"/>
      <c r="K195" s="31"/>
      <c r="L195" s="33"/>
      <c r="M195" s="33"/>
      <c r="N195" s="33"/>
      <c r="O195" s="11"/>
      <c r="P195" s="114"/>
      <c r="Q195" s="114"/>
      <c r="R195" s="117"/>
      <c r="S195" s="33"/>
      <c r="T195" s="33"/>
      <c r="U195" s="33"/>
      <c r="V195" s="33"/>
    </row>
    <row r="196" spans="1:22" ht="21" hidden="1" customHeight="1">
      <c r="A196" s="31"/>
      <c r="B196" s="31"/>
      <c r="C196" s="33"/>
      <c r="D196" s="33"/>
      <c r="E196" s="33"/>
      <c r="F196" s="110"/>
      <c r="G196" s="33"/>
      <c r="H196" s="33"/>
      <c r="I196" s="33"/>
      <c r="J196" s="33"/>
      <c r="K196" s="31"/>
      <c r="L196" s="33"/>
      <c r="M196" s="33"/>
      <c r="N196" s="33"/>
      <c r="O196" s="11"/>
      <c r="P196" s="114"/>
      <c r="Q196" s="114"/>
      <c r="R196" s="117"/>
      <c r="S196" s="33"/>
      <c r="T196" s="33"/>
      <c r="U196" s="33"/>
      <c r="V196" s="33"/>
    </row>
    <row r="197" spans="1:22" ht="21" hidden="1" customHeight="1">
      <c r="A197" s="31"/>
      <c r="B197" s="31"/>
      <c r="C197" s="33"/>
      <c r="D197" s="33"/>
      <c r="E197" s="33"/>
      <c r="F197" s="110"/>
      <c r="G197" s="33"/>
      <c r="H197" s="33"/>
      <c r="I197" s="33"/>
      <c r="J197" s="33"/>
      <c r="K197" s="31"/>
      <c r="L197" s="33"/>
      <c r="M197" s="33"/>
      <c r="N197" s="33"/>
      <c r="O197" s="11"/>
      <c r="P197" s="114"/>
      <c r="Q197" s="114"/>
      <c r="R197" s="117"/>
      <c r="S197" s="33"/>
      <c r="T197" s="33"/>
      <c r="U197" s="33"/>
      <c r="V197" s="33"/>
    </row>
    <row r="198" spans="1:22" ht="21" hidden="1" customHeight="1">
      <c r="A198" s="31"/>
      <c r="B198" s="31"/>
      <c r="C198" s="33"/>
      <c r="D198" s="33"/>
      <c r="E198" s="33"/>
      <c r="F198" s="110"/>
      <c r="G198" s="33"/>
      <c r="H198" s="33"/>
      <c r="I198" s="33"/>
      <c r="J198" s="33"/>
      <c r="K198" s="31"/>
      <c r="L198" s="33"/>
      <c r="M198" s="33"/>
      <c r="N198" s="33"/>
      <c r="O198" s="11"/>
      <c r="P198" s="114"/>
      <c r="Q198" s="114"/>
      <c r="R198" s="117"/>
      <c r="S198" s="33"/>
      <c r="T198" s="33"/>
      <c r="U198" s="33"/>
      <c r="V198" s="33"/>
    </row>
    <row r="199" spans="1:22" ht="21" hidden="1" customHeight="1">
      <c r="A199" s="31"/>
      <c r="B199" s="31"/>
      <c r="C199" s="33"/>
      <c r="D199" s="33"/>
      <c r="E199" s="33"/>
      <c r="F199" s="110"/>
      <c r="G199" s="33"/>
      <c r="H199" s="33"/>
      <c r="I199" s="33"/>
      <c r="J199" s="33"/>
      <c r="K199" s="31"/>
      <c r="L199" s="33"/>
      <c r="M199" s="33"/>
      <c r="N199" s="33"/>
      <c r="O199" s="11"/>
      <c r="P199" s="114"/>
      <c r="Q199" s="114"/>
      <c r="R199" s="117"/>
      <c r="S199" s="33"/>
      <c r="T199" s="33"/>
      <c r="U199" s="33"/>
      <c r="V199" s="33"/>
    </row>
    <row r="200" spans="1:22" ht="21" hidden="1" customHeight="1">
      <c r="A200" s="31"/>
      <c r="B200" s="31"/>
      <c r="C200" s="33"/>
      <c r="D200" s="33"/>
      <c r="E200" s="33"/>
      <c r="F200" s="110"/>
      <c r="G200" s="33"/>
      <c r="H200" s="33"/>
      <c r="I200" s="33"/>
      <c r="J200" s="33"/>
      <c r="K200" s="31"/>
      <c r="L200" s="33"/>
      <c r="M200" s="33"/>
      <c r="N200" s="33"/>
      <c r="O200" s="11"/>
      <c r="P200" s="114"/>
      <c r="Q200" s="114"/>
      <c r="R200" s="117"/>
      <c r="S200" s="33"/>
      <c r="T200" s="33"/>
      <c r="U200" s="33"/>
      <c r="V200" s="33"/>
    </row>
    <row r="201" spans="1:22" ht="21" hidden="1" customHeight="1">
      <c r="A201" s="31"/>
      <c r="B201" s="31"/>
      <c r="C201" s="33"/>
      <c r="D201" s="33"/>
      <c r="E201" s="33"/>
      <c r="F201" s="110"/>
      <c r="G201" s="33"/>
      <c r="H201" s="33"/>
      <c r="I201" s="33"/>
      <c r="J201" s="33"/>
      <c r="K201" s="31"/>
      <c r="L201" s="33"/>
      <c r="M201" s="33"/>
      <c r="N201" s="33"/>
      <c r="O201" s="11"/>
      <c r="P201" s="114"/>
      <c r="Q201" s="114"/>
      <c r="R201" s="117"/>
      <c r="S201" s="33"/>
      <c r="T201" s="33"/>
      <c r="U201" s="33"/>
      <c r="V201" s="33"/>
    </row>
    <row r="202" spans="1:22" ht="21" hidden="1" customHeight="1">
      <c r="A202" s="31"/>
      <c r="B202" s="31"/>
      <c r="C202" s="33"/>
      <c r="D202" s="33"/>
      <c r="E202" s="33"/>
      <c r="F202" s="110"/>
      <c r="G202" s="33"/>
      <c r="H202" s="33"/>
      <c r="I202" s="33"/>
      <c r="J202" s="33"/>
      <c r="K202" s="31"/>
      <c r="L202" s="33"/>
      <c r="M202" s="33"/>
      <c r="N202" s="33"/>
      <c r="O202" s="11"/>
      <c r="P202" s="114"/>
      <c r="Q202" s="114"/>
      <c r="R202" s="117"/>
      <c r="S202" s="33"/>
      <c r="T202" s="33"/>
      <c r="U202" s="33"/>
      <c r="V202" s="33"/>
    </row>
    <row r="203" spans="1:22" ht="21" hidden="1" customHeight="1">
      <c r="A203" s="31"/>
      <c r="B203" s="31"/>
      <c r="C203" s="33"/>
      <c r="D203" s="33"/>
      <c r="E203" s="33"/>
      <c r="F203" s="110"/>
      <c r="G203" s="33"/>
      <c r="H203" s="33"/>
      <c r="I203" s="33"/>
      <c r="J203" s="33"/>
      <c r="K203" s="31"/>
      <c r="L203" s="33"/>
      <c r="M203" s="33"/>
      <c r="N203" s="33"/>
      <c r="O203" s="11"/>
      <c r="P203" s="114"/>
      <c r="Q203" s="114"/>
      <c r="R203" s="117"/>
      <c r="S203" s="33"/>
      <c r="T203" s="33"/>
      <c r="U203" s="33"/>
      <c r="V203" s="33"/>
    </row>
    <row r="204" spans="1:22" ht="21" hidden="1" customHeight="1">
      <c r="A204" s="31"/>
      <c r="B204" s="31"/>
      <c r="C204" s="33"/>
      <c r="D204" s="33"/>
      <c r="E204" s="33"/>
      <c r="F204" s="110"/>
      <c r="G204" s="33"/>
      <c r="H204" s="33"/>
      <c r="I204" s="33"/>
      <c r="J204" s="33"/>
      <c r="K204" s="31"/>
      <c r="L204" s="33"/>
      <c r="M204" s="33"/>
      <c r="N204" s="33"/>
      <c r="O204" s="11"/>
      <c r="P204" s="114"/>
      <c r="Q204" s="114"/>
      <c r="R204" s="117"/>
      <c r="S204" s="33"/>
      <c r="T204" s="33"/>
      <c r="U204" s="33"/>
      <c r="V204" s="33"/>
    </row>
    <row r="205" spans="1:22" ht="21" hidden="1" customHeight="1">
      <c r="A205" s="31"/>
      <c r="B205" s="31"/>
      <c r="C205" s="33"/>
      <c r="D205" s="33"/>
      <c r="E205" s="33"/>
      <c r="F205" s="110"/>
      <c r="G205" s="33"/>
      <c r="H205" s="33"/>
      <c r="I205" s="33"/>
      <c r="J205" s="33"/>
      <c r="K205" s="31"/>
      <c r="L205" s="33"/>
      <c r="M205" s="33"/>
      <c r="N205" s="33"/>
      <c r="O205" s="11"/>
      <c r="P205" s="114"/>
      <c r="Q205" s="114"/>
      <c r="R205" s="117"/>
      <c r="S205" s="33"/>
      <c r="T205" s="33"/>
      <c r="U205" s="33"/>
      <c r="V205" s="33"/>
    </row>
    <row r="206" spans="1:22" ht="21" hidden="1" customHeight="1">
      <c r="A206" s="31"/>
      <c r="B206" s="31"/>
      <c r="C206" s="33"/>
      <c r="D206" s="33"/>
      <c r="E206" s="33"/>
      <c r="F206" s="110"/>
      <c r="G206" s="33"/>
      <c r="H206" s="33"/>
      <c r="I206" s="33"/>
      <c r="J206" s="33"/>
      <c r="K206" s="31"/>
      <c r="L206" s="33"/>
      <c r="M206" s="33"/>
      <c r="N206" s="33"/>
      <c r="O206" s="11"/>
      <c r="P206" s="114"/>
      <c r="Q206" s="114"/>
      <c r="R206" s="117"/>
      <c r="S206" s="33"/>
      <c r="T206" s="33"/>
      <c r="U206" s="33"/>
      <c r="V206" s="33"/>
    </row>
    <row r="207" spans="1:22" ht="21" hidden="1" customHeight="1">
      <c r="A207" s="31"/>
      <c r="B207" s="31"/>
      <c r="C207" s="33"/>
      <c r="D207" s="33"/>
      <c r="E207" s="33"/>
      <c r="F207" s="110"/>
      <c r="G207" s="33"/>
      <c r="H207" s="33"/>
      <c r="I207" s="33"/>
      <c r="J207" s="33"/>
      <c r="K207" s="31"/>
      <c r="L207" s="33"/>
      <c r="M207" s="33"/>
      <c r="N207" s="33"/>
      <c r="O207" s="11"/>
      <c r="P207" s="114"/>
      <c r="Q207" s="114"/>
      <c r="R207" s="117"/>
      <c r="S207" s="33"/>
      <c r="T207" s="33"/>
      <c r="U207" s="33"/>
      <c r="V207" s="33"/>
    </row>
    <row r="208" spans="1:22" ht="21" hidden="1" customHeight="1">
      <c r="A208" s="31"/>
      <c r="B208" s="31"/>
      <c r="C208" s="33"/>
      <c r="D208" s="33"/>
      <c r="E208" s="33"/>
      <c r="F208" s="110"/>
      <c r="G208" s="33"/>
      <c r="H208" s="33"/>
      <c r="I208" s="33"/>
      <c r="J208" s="33"/>
      <c r="K208" s="31"/>
      <c r="L208" s="33"/>
      <c r="M208" s="33"/>
      <c r="N208" s="33"/>
      <c r="O208" s="11"/>
      <c r="P208" s="114"/>
      <c r="Q208" s="114"/>
      <c r="R208" s="117"/>
      <c r="S208" s="33"/>
      <c r="T208" s="33"/>
      <c r="U208" s="33"/>
      <c r="V208" s="33"/>
    </row>
    <row r="209" spans="1:22" ht="21" hidden="1" customHeight="1">
      <c r="A209" s="31"/>
      <c r="B209" s="31"/>
      <c r="C209" s="33"/>
      <c r="D209" s="33"/>
      <c r="E209" s="33"/>
      <c r="F209" s="110"/>
      <c r="G209" s="33"/>
      <c r="H209" s="33"/>
      <c r="I209" s="33"/>
      <c r="J209" s="33"/>
      <c r="K209" s="31"/>
      <c r="L209" s="33"/>
      <c r="M209" s="33"/>
      <c r="N209" s="33"/>
      <c r="O209" s="11"/>
      <c r="P209" s="114"/>
      <c r="Q209" s="114"/>
      <c r="R209" s="117"/>
      <c r="S209" s="33"/>
      <c r="T209" s="33"/>
      <c r="U209" s="33"/>
      <c r="V209" s="33"/>
    </row>
    <row r="210" spans="1:22" ht="21" hidden="1" customHeight="1">
      <c r="A210" s="31"/>
      <c r="B210" s="31"/>
      <c r="C210" s="33"/>
      <c r="D210" s="33"/>
      <c r="E210" s="33"/>
      <c r="F210" s="110"/>
      <c r="G210" s="33"/>
      <c r="H210" s="33"/>
      <c r="I210" s="33"/>
      <c r="J210" s="33"/>
      <c r="K210" s="31"/>
      <c r="L210" s="33"/>
      <c r="M210" s="33"/>
      <c r="N210" s="33"/>
      <c r="O210" s="11"/>
      <c r="P210" s="114"/>
      <c r="Q210" s="114"/>
      <c r="R210" s="117"/>
      <c r="S210" s="33"/>
      <c r="T210" s="33"/>
      <c r="U210" s="33"/>
      <c r="V210" s="33"/>
    </row>
    <row r="211" spans="1:22" ht="21" hidden="1" customHeight="1">
      <c r="A211" s="31"/>
      <c r="B211" s="31"/>
      <c r="C211" s="33"/>
      <c r="D211" s="33"/>
      <c r="E211" s="33"/>
      <c r="F211" s="110"/>
      <c r="G211" s="33"/>
      <c r="H211" s="33"/>
      <c r="I211" s="33"/>
      <c r="J211" s="33"/>
      <c r="K211" s="31"/>
      <c r="L211" s="33"/>
      <c r="M211" s="33"/>
      <c r="N211" s="33"/>
      <c r="O211" s="11"/>
      <c r="P211" s="114"/>
      <c r="Q211" s="114"/>
      <c r="R211" s="117"/>
      <c r="S211" s="33"/>
      <c r="T211" s="33"/>
      <c r="U211" s="33"/>
      <c r="V211" s="33"/>
    </row>
    <row r="212" spans="1:22" ht="21" hidden="1" customHeight="1">
      <c r="A212" s="31"/>
      <c r="B212" s="31"/>
      <c r="C212" s="33"/>
      <c r="D212" s="33"/>
      <c r="E212" s="33"/>
      <c r="F212" s="110"/>
      <c r="G212" s="33"/>
      <c r="H212" s="33"/>
      <c r="I212" s="33"/>
      <c r="J212" s="33"/>
      <c r="K212" s="31"/>
      <c r="L212" s="33"/>
      <c r="M212" s="33"/>
      <c r="N212" s="33"/>
      <c r="O212" s="11"/>
      <c r="P212" s="114"/>
      <c r="Q212" s="114"/>
      <c r="R212" s="117"/>
      <c r="S212" s="33"/>
      <c r="T212" s="33"/>
      <c r="U212" s="33"/>
      <c r="V212" s="33"/>
    </row>
    <row r="213" spans="1:22" ht="21" hidden="1" customHeight="1">
      <c r="A213" s="31"/>
      <c r="B213" s="31"/>
      <c r="C213" s="33"/>
      <c r="D213" s="33"/>
      <c r="E213" s="33"/>
      <c r="F213" s="110"/>
      <c r="G213" s="33"/>
      <c r="H213" s="33"/>
      <c r="I213" s="33"/>
      <c r="J213" s="33"/>
      <c r="K213" s="31"/>
      <c r="L213" s="33"/>
      <c r="M213" s="33"/>
      <c r="N213" s="33"/>
      <c r="O213" s="11"/>
      <c r="P213" s="114"/>
      <c r="Q213" s="114"/>
      <c r="R213" s="117"/>
      <c r="S213" s="33"/>
      <c r="T213" s="33"/>
      <c r="U213" s="33"/>
      <c r="V213" s="33"/>
    </row>
    <row r="214" spans="1:22" ht="21" hidden="1" customHeight="1">
      <c r="A214" s="31"/>
      <c r="B214" s="31"/>
      <c r="C214" s="33"/>
      <c r="D214" s="33"/>
      <c r="E214" s="33"/>
      <c r="F214" s="110"/>
      <c r="G214" s="33"/>
      <c r="H214" s="33"/>
      <c r="I214" s="33"/>
      <c r="J214" s="33"/>
      <c r="K214" s="31"/>
      <c r="L214" s="33"/>
      <c r="M214" s="33"/>
      <c r="N214" s="33"/>
      <c r="O214" s="11"/>
      <c r="P214" s="114"/>
      <c r="Q214" s="114"/>
      <c r="R214" s="117"/>
      <c r="S214" s="33"/>
      <c r="T214" s="33"/>
      <c r="U214" s="33"/>
      <c r="V214" s="33"/>
    </row>
    <row r="215" spans="1:22" ht="21" hidden="1" customHeight="1">
      <c r="A215" s="31"/>
      <c r="B215" s="31"/>
      <c r="C215" s="33"/>
      <c r="D215" s="33"/>
      <c r="E215" s="33"/>
      <c r="F215" s="110"/>
      <c r="G215" s="33"/>
      <c r="H215" s="33"/>
      <c r="I215" s="33"/>
      <c r="J215" s="33"/>
      <c r="K215" s="31"/>
      <c r="L215" s="33"/>
      <c r="M215" s="33"/>
      <c r="N215" s="33"/>
      <c r="O215" s="11"/>
      <c r="P215" s="114"/>
      <c r="Q215" s="114"/>
      <c r="R215" s="117"/>
      <c r="S215" s="33"/>
      <c r="T215" s="33"/>
      <c r="U215" s="33"/>
      <c r="V215" s="33"/>
    </row>
    <row r="216" spans="1:22" ht="21" hidden="1" customHeight="1">
      <c r="A216" s="31"/>
      <c r="B216" s="31"/>
      <c r="C216" s="33"/>
      <c r="D216" s="33"/>
      <c r="E216" s="33"/>
      <c r="F216" s="110"/>
      <c r="G216" s="33"/>
      <c r="H216" s="33"/>
      <c r="I216" s="33"/>
      <c r="J216" s="33"/>
      <c r="K216" s="31"/>
      <c r="L216" s="33"/>
      <c r="M216" s="33"/>
      <c r="N216" s="33"/>
      <c r="O216" s="11"/>
      <c r="P216" s="114"/>
      <c r="Q216" s="114"/>
      <c r="R216" s="117"/>
      <c r="S216" s="33"/>
      <c r="T216" s="33"/>
      <c r="U216" s="33"/>
      <c r="V216" s="33"/>
    </row>
    <row r="217" spans="1:22" ht="21" hidden="1" customHeight="1">
      <c r="A217" s="31"/>
      <c r="B217" s="31"/>
      <c r="C217" s="33"/>
      <c r="D217" s="33"/>
      <c r="E217" s="33"/>
      <c r="F217" s="110"/>
      <c r="G217" s="33"/>
      <c r="H217" s="33"/>
      <c r="I217" s="33"/>
      <c r="J217" s="33"/>
      <c r="K217" s="31"/>
      <c r="L217" s="33"/>
      <c r="M217" s="33"/>
      <c r="N217" s="33"/>
      <c r="O217" s="11"/>
      <c r="P217" s="114"/>
      <c r="Q217" s="114"/>
      <c r="R217" s="117"/>
      <c r="S217" s="33"/>
      <c r="T217" s="33"/>
      <c r="U217" s="33"/>
      <c r="V217" s="33"/>
    </row>
    <row r="218" spans="1:22" ht="21" hidden="1" customHeight="1">
      <c r="A218" s="31"/>
      <c r="B218" s="31"/>
      <c r="C218" s="33"/>
      <c r="D218" s="33"/>
      <c r="E218" s="33"/>
      <c r="F218" s="110"/>
      <c r="G218" s="33"/>
      <c r="H218" s="33"/>
      <c r="I218" s="33"/>
      <c r="J218" s="33"/>
      <c r="K218" s="31"/>
      <c r="L218" s="33"/>
      <c r="M218" s="33"/>
      <c r="N218" s="33"/>
      <c r="O218" s="11"/>
      <c r="P218" s="114"/>
      <c r="Q218" s="114"/>
      <c r="R218" s="117"/>
      <c r="S218" s="33"/>
      <c r="T218" s="33"/>
      <c r="U218" s="33"/>
      <c r="V218" s="33"/>
    </row>
    <row r="219" spans="1:22" ht="21" hidden="1" customHeight="1">
      <c r="A219" s="31"/>
      <c r="B219" s="31"/>
      <c r="C219" s="33"/>
      <c r="D219" s="33"/>
      <c r="E219" s="33"/>
      <c r="F219" s="110"/>
      <c r="G219" s="33"/>
      <c r="H219" s="33"/>
      <c r="I219" s="33"/>
      <c r="J219" s="33"/>
      <c r="K219" s="31"/>
      <c r="L219" s="33"/>
      <c r="M219" s="33"/>
      <c r="N219" s="33"/>
      <c r="O219" s="11"/>
      <c r="P219" s="114"/>
      <c r="Q219" s="114"/>
      <c r="R219" s="117"/>
      <c r="S219" s="33"/>
      <c r="T219" s="33"/>
      <c r="U219" s="33"/>
      <c r="V219" s="33"/>
    </row>
    <row r="220" spans="1:22" ht="21" hidden="1" customHeight="1">
      <c r="A220" s="31"/>
      <c r="B220" s="31"/>
      <c r="C220" s="33"/>
      <c r="D220" s="33"/>
      <c r="E220" s="33"/>
      <c r="F220" s="110"/>
      <c r="G220" s="33"/>
      <c r="H220" s="33"/>
      <c r="I220" s="33"/>
      <c r="J220" s="33"/>
      <c r="K220" s="31"/>
      <c r="L220" s="33"/>
      <c r="M220" s="33"/>
      <c r="N220" s="33"/>
      <c r="O220" s="11"/>
      <c r="P220" s="114"/>
      <c r="Q220" s="114"/>
      <c r="R220" s="117"/>
      <c r="S220" s="33"/>
      <c r="T220" s="33"/>
      <c r="U220" s="33"/>
      <c r="V220" s="33"/>
    </row>
    <row r="221" spans="1:22" ht="21" hidden="1" customHeight="1">
      <c r="A221" s="31"/>
      <c r="B221" s="31"/>
      <c r="C221" s="33"/>
      <c r="D221" s="33"/>
      <c r="E221" s="33"/>
      <c r="F221" s="110"/>
      <c r="G221" s="33"/>
      <c r="H221" s="33"/>
      <c r="I221" s="33"/>
      <c r="J221" s="33"/>
      <c r="K221" s="31"/>
      <c r="L221" s="33"/>
      <c r="M221" s="33"/>
      <c r="N221" s="33"/>
      <c r="O221" s="11"/>
      <c r="P221" s="114"/>
      <c r="Q221" s="114"/>
      <c r="R221" s="117"/>
      <c r="S221" s="33"/>
      <c r="T221" s="33"/>
      <c r="U221" s="33"/>
      <c r="V221" s="33"/>
    </row>
    <row r="222" spans="1:22" ht="21" hidden="1" customHeight="1">
      <c r="A222" s="31"/>
      <c r="B222" s="31"/>
      <c r="C222" s="33"/>
      <c r="D222" s="33"/>
      <c r="E222" s="33"/>
      <c r="F222" s="110"/>
      <c r="G222" s="33"/>
      <c r="H222" s="33"/>
      <c r="I222" s="33"/>
      <c r="J222" s="33"/>
      <c r="K222" s="31"/>
      <c r="L222" s="33"/>
      <c r="M222" s="33"/>
      <c r="N222" s="33"/>
      <c r="O222" s="11"/>
      <c r="P222" s="114"/>
      <c r="Q222" s="114"/>
      <c r="R222" s="117"/>
      <c r="S222" s="33"/>
      <c r="T222" s="33"/>
      <c r="U222" s="33"/>
      <c r="V222" s="33"/>
    </row>
    <row r="223" spans="1:22" ht="21" hidden="1" customHeight="1">
      <c r="A223" s="31"/>
      <c r="B223" s="31"/>
      <c r="C223" s="33"/>
      <c r="D223" s="33"/>
      <c r="E223" s="33"/>
      <c r="F223" s="110"/>
      <c r="G223" s="33"/>
      <c r="H223" s="33"/>
      <c r="I223" s="33"/>
      <c r="J223" s="33"/>
      <c r="K223" s="31"/>
      <c r="L223" s="33"/>
      <c r="M223" s="33"/>
      <c r="N223" s="33"/>
      <c r="O223" s="11"/>
      <c r="P223" s="114"/>
      <c r="Q223" s="114"/>
      <c r="R223" s="117"/>
      <c r="S223" s="33"/>
      <c r="T223" s="33"/>
      <c r="U223" s="33"/>
      <c r="V223" s="33"/>
    </row>
    <row r="224" spans="1:22" ht="21" hidden="1" customHeight="1">
      <c r="A224" s="31"/>
      <c r="B224" s="31"/>
      <c r="C224" s="33"/>
      <c r="D224" s="33"/>
      <c r="E224" s="33"/>
      <c r="F224" s="110"/>
      <c r="G224" s="33"/>
      <c r="H224" s="33"/>
      <c r="I224" s="33"/>
      <c r="J224" s="33"/>
      <c r="K224" s="31"/>
      <c r="L224" s="33"/>
      <c r="M224" s="33"/>
      <c r="N224" s="31"/>
      <c r="O224" s="11"/>
      <c r="P224" s="114"/>
      <c r="Q224" s="114"/>
      <c r="R224" s="117"/>
      <c r="S224" s="33"/>
      <c r="T224" s="33"/>
      <c r="U224" s="33"/>
      <c r="V224" s="33"/>
    </row>
    <row r="225" spans="1:22" ht="21" hidden="1" customHeight="1">
      <c r="A225" s="31"/>
      <c r="B225" s="31"/>
      <c r="C225" s="33"/>
      <c r="D225" s="33"/>
      <c r="E225" s="33"/>
      <c r="F225" s="110"/>
      <c r="G225" s="33"/>
      <c r="H225" s="33"/>
      <c r="I225" s="33"/>
      <c r="J225" s="33"/>
      <c r="K225" s="31"/>
      <c r="L225" s="33"/>
      <c r="M225" s="33"/>
      <c r="N225" s="31"/>
      <c r="O225" s="11"/>
      <c r="P225" s="114"/>
      <c r="Q225" s="114"/>
      <c r="R225" s="117"/>
      <c r="S225" s="33"/>
      <c r="T225" s="33"/>
      <c r="U225" s="33"/>
      <c r="V225" s="33"/>
    </row>
    <row r="226" spans="1:22" ht="21" hidden="1" customHeight="1">
      <c r="A226" s="31"/>
      <c r="B226" s="31"/>
      <c r="C226" s="33"/>
      <c r="D226" s="33"/>
      <c r="E226" s="33"/>
      <c r="F226" s="110"/>
      <c r="G226" s="33"/>
      <c r="H226" s="33"/>
      <c r="I226" s="33"/>
      <c r="J226" s="33"/>
      <c r="K226" s="31"/>
      <c r="L226" s="33"/>
      <c r="M226" s="33"/>
      <c r="N226" s="31"/>
      <c r="O226" s="11"/>
      <c r="P226" s="114"/>
      <c r="Q226" s="114"/>
      <c r="R226" s="117"/>
      <c r="S226" s="33"/>
      <c r="T226" s="33"/>
      <c r="U226" s="33"/>
      <c r="V226" s="33"/>
    </row>
    <row r="227" spans="1:22" ht="21" hidden="1" customHeight="1">
      <c r="A227" s="31"/>
      <c r="B227" s="31"/>
      <c r="C227" s="33"/>
      <c r="D227" s="33"/>
      <c r="E227" s="33"/>
      <c r="F227" s="110"/>
      <c r="G227" s="33"/>
      <c r="H227" s="33"/>
      <c r="I227" s="33"/>
      <c r="J227" s="33"/>
      <c r="K227" s="31"/>
      <c r="L227" s="33"/>
      <c r="M227" s="33"/>
      <c r="N227" s="31"/>
      <c r="O227" s="11"/>
      <c r="P227" s="114"/>
      <c r="Q227" s="114"/>
      <c r="R227" s="117"/>
      <c r="S227" s="33"/>
      <c r="T227" s="33"/>
      <c r="U227" s="33"/>
      <c r="V227" s="33"/>
    </row>
    <row r="228" spans="1:22" ht="21" hidden="1" customHeight="1">
      <c r="A228" s="31"/>
      <c r="B228" s="31"/>
      <c r="C228" s="33"/>
      <c r="D228" s="33"/>
      <c r="E228" s="33"/>
      <c r="F228" s="110"/>
      <c r="G228" s="33"/>
      <c r="H228" s="33"/>
      <c r="I228" s="33"/>
      <c r="J228" s="33"/>
      <c r="K228" s="31"/>
      <c r="L228" s="33"/>
      <c r="M228" s="33"/>
      <c r="N228" s="31"/>
      <c r="O228" s="11"/>
      <c r="P228" s="114"/>
      <c r="Q228" s="114"/>
      <c r="R228" s="117"/>
      <c r="S228" s="33"/>
      <c r="T228" s="33"/>
      <c r="U228" s="33"/>
      <c r="V228" s="33"/>
    </row>
    <row r="229" spans="1:22" ht="21" hidden="1" customHeight="1">
      <c r="A229" s="31"/>
      <c r="B229" s="31"/>
      <c r="C229" s="33"/>
      <c r="D229" s="33"/>
      <c r="E229" s="33"/>
      <c r="F229" s="110"/>
      <c r="G229" s="33"/>
      <c r="H229" s="33"/>
      <c r="I229" s="33"/>
      <c r="J229" s="33"/>
      <c r="K229" s="31"/>
      <c r="L229" s="33"/>
      <c r="M229" s="33"/>
      <c r="N229" s="31"/>
      <c r="O229" s="11"/>
      <c r="P229" s="114"/>
      <c r="Q229" s="114"/>
      <c r="R229" s="117"/>
      <c r="S229" s="33"/>
      <c r="T229" s="33"/>
      <c r="U229" s="33"/>
      <c r="V229" s="33"/>
    </row>
    <row r="230" spans="1:22" ht="21" hidden="1" customHeight="1">
      <c r="A230" s="31"/>
      <c r="B230" s="31"/>
      <c r="C230" s="33"/>
      <c r="D230" s="33"/>
      <c r="E230" s="33"/>
      <c r="F230" s="110"/>
      <c r="G230" s="33"/>
      <c r="H230" s="33"/>
      <c r="I230" s="33"/>
      <c r="J230" s="33"/>
      <c r="K230" s="31"/>
      <c r="L230" s="33"/>
      <c r="M230" s="33"/>
      <c r="N230" s="31"/>
      <c r="O230" s="11"/>
      <c r="P230" s="114"/>
      <c r="Q230" s="114"/>
      <c r="R230" s="117"/>
      <c r="S230" s="33"/>
      <c r="T230" s="33"/>
      <c r="U230" s="33"/>
      <c r="V230" s="33"/>
    </row>
    <row r="231" spans="1:22" ht="21" hidden="1" customHeight="1">
      <c r="A231" s="31"/>
      <c r="B231" s="31"/>
      <c r="C231" s="33"/>
      <c r="D231" s="33"/>
      <c r="E231" s="33"/>
      <c r="F231" s="110"/>
      <c r="G231" s="33"/>
      <c r="H231" s="33"/>
      <c r="I231" s="33"/>
      <c r="J231" s="33"/>
      <c r="K231" s="31"/>
      <c r="L231" s="33"/>
      <c r="M231" s="33"/>
      <c r="N231" s="31"/>
      <c r="O231" s="11"/>
      <c r="P231" s="114"/>
      <c r="Q231" s="114"/>
      <c r="R231" s="117"/>
      <c r="S231" s="33"/>
      <c r="T231" s="33"/>
      <c r="U231" s="33"/>
      <c r="V231" s="33"/>
    </row>
    <row r="232" spans="1:22" ht="21" hidden="1" customHeight="1">
      <c r="A232" s="31"/>
      <c r="B232" s="31"/>
      <c r="C232" s="33"/>
      <c r="D232" s="33"/>
      <c r="E232" s="33"/>
      <c r="F232" s="110"/>
      <c r="G232" s="33"/>
      <c r="H232" s="33"/>
      <c r="I232" s="33"/>
      <c r="J232" s="33"/>
      <c r="K232" s="31"/>
      <c r="L232" s="33"/>
      <c r="M232" s="33"/>
      <c r="N232" s="31"/>
      <c r="O232" s="11"/>
      <c r="P232" s="114"/>
      <c r="Q232" s="114"/>
      <c r="R232" s="117"/>
      <c r="S232" s="33"/>
      <c r="T232" s="33"/>
      <c r="U232" s="33"/>
      <c r="V232" s="33"/>
    </row>
    <row r="233" spans="1:22" ht="21" hidden="1" customHeight="1">
      <c r="A233" s="31"/>
      <c r="B233" s="31"/>
      <c r="C233" s="33"/>
      <c r="D233" s="33"/>
      <c r="E233" s="33"/>
      <c r="F233" s="110"/>
      <c r="G233" s="33"/>
      <c r="H233" s="33"/>
      <c r="I233" s="33"/>
      <c r="J233" s="33"/>
      <c r="K233" s="31"/>
      <c r="L233" s="33"/>
      <c r="M233" s="33"/>
      <c r="N233" s="31"/>
      <c r="O233" s="11"/>
      <c r="P233" s="114"/>
      <c r="Q233" s="114"/>
      <c r="R233" s="117"/>
      <c r="S233" s="33"/>
      <c r="T233" s="33"/>
      <c r="U233" s="33"/>
      <c r="V233" s="33"/>
    </row>
    <row r="234" spans="1:22" ht="21" hidden="1" customHeight="1">
      <c r="A234" s="31"/>
      <c r="B234" s="31"/>
      <c r="C234" s="33"/>
      <c r="D234" s="33"/>
      <c r="E234" s="33"/>
      <c r="F234" s="110"/>
      <c r="G234" s="33"/>
      <c r="H234" s="33"/>
      <c r="I234" s="33"/>
      <c r="J234" s="33"/>
      <c r="K234" s="31"/>
      <c r="L234" s="33"/>
      <c r="M234" s="33"/>
      <c r="N234" s="33"/>
      <c r="O234" s="11"/>
      <c r="P234" s="114"/>
      <c r="Q234" s="114"/>
      <c r="R234" s="117"/>
      <c r="S234" s="33"/>
      <c r="T234" s="33"/>
      <c r="U234" s="33"/>
      <c r="V234" s="33"/>
    </row>
    <row r="235" spans="1:22" ht="21" hidden="1" customHeight="1">
      <c r="A235" s="31"/>
      <c r="B235" s="31"/>
      <c r="C235" s="33"/>
      <c r="D235" s="33"/>
      <c r="E235" s="33"/>
      <c r="F235" s="110"/>
      <c r="G235" s="33"/>
      <c r="H235" s="33"/>
      <c r="I235" s="33"/>
      <c r="J235" s="33"/>
      <c r="K235" s="31"/>
      <c r="L235" s="33"/>
      <c r="M235" s="33"/>
      <c r="N235" s="33"/>
      <c r="O235" s="11"/>
      <c r="P235" s="114"/>
      <c r="Q235" s="114"/>
      <c r="R235" s="117"/>
      <c r="S235" s="33"/>
      <c r="T235" s="33"/>
      <c r="U235" s="33"/>
      <c r="V235" s="33"/>
    </row>
    <row r="236" spans="1:22" ht="21" hidden="1" customHeight="1">
      <c r="A236" s="31"/>
      <c r="B236" s="31"/>
      <c r="C236" s="33"/>
      <c r="D236" s="33"/>
      <c r="E236" s="33"/>
      <c r="F236" s="110"/>
      <c r="G236" s="33"/>
      <c r="H236" s="33"/>
      <c r="I236" s="33"/>
      <c r="J236" s="33"/>
      <c r="K236" s="31"/>
      <c r="L236" s="33"/>
      <c r="M236" s="33"/>
      <c r="N236" s="33"/>
      <c r="O236" s="11"/>
      <c r="P236" s="114"/>
      <c r="Q236" s="114"/>
      <c r="R236" s="117"/>
      <c r="S236" s="33"/>
      <c r="T236" s="33"/>
      <c r="U236" s="33"/>
      <c r="V236" s="33"/>
    </row>
    <row r="237" spans="1:22" ht="21" hidden="1" customHeight="1">
      <c r="A237" s="31"/>
      <c r="B237" s="31"/>
      <c r="C237" s="33"/>
      <c r="D237" s="33"/>
      <c r="E237" s="33"/>
      <c r="F237" s="110"/>
      <c r="G237" s="33"/>
      <c r="H237" s="33"/>
      <c r="I237" s="33"/>
      <c r="J237" s="33"/>
      <c r="K237" s="31"/>
      <c r="L237" s="33"/>
      <c r="M237" s="33"/>
      <c r="N237" s="33"/>
      <c r="O237" s="11"/>
      <c r="P237" s="114"/>
      <c r="Q237" s="114"/>
      <c r="R237" s="117"/>
      <c r="S237" s="33"/>
      <c r="T237" s="33"/>
      <c r="U237" s="33"/>
      <c r="V237" s="33"/>
    </row>
    <row r="238" spans="1:22" ht="21" hidden="1" customHeight="1">
      <c r="A238" s="31"/>
      <c r="B238" s="31"/>
      <c r="C238" s="33"/>
      <c r="D238" s="33"/>
      <c r="E238" s="33"/>
      <c r="F238" s="110"/>
      <c r="G238" s="33"/>
      <c r="H238" s="33"/>
      <c r="I238" s="33"/>
      <c r="J238" s="33"/>
      <c r="K238" s="31"/>
      <c r="L238" s="33"/>
      <c r="M238" s="33"/>
      <c r="N238" s="33"/>
      <c r="O238" s="11"/>
      <c r="P238" s="114"/>
      <c r="Q238" s="114"/>
      <c r="R238" s="117"/>
      <c r="S238" s="33"/>
      <c r="T238" s="33"/>
      <c r="U238" s="33"/>
      <c r="V238" s="33"/>
    </row>
    <row r="239" spans="1:22" ht="21" hidden="1" customHeight="1">
      <c r="A239" s="31"/>
      <c r="B239" s="31"/>
      <c r="C239" s="33"/>
      <c r="D239" s="33"/>
      <c r="E239" s="33"/>
      <c r="F239" s="110"/>
      <c r="G239" s="33"/>
      <c r="H239" s="33"/>
      <c r="I239" s="33"/>
      <c r="J239" s="33"/>
      <c r="K239" s="31"/>
      <c r="L239" s="33"/>
      <c r="M239" s="33"/>
      <c r="N239" s="31"/>
      <c r="O239" s="11"/>
      <c r="P239" s="114"/>
      <c r="Q239" s="114"/>
      <c r="R239" s="117"/>
      <c r="S239" s="33"/>
      <c r="T239" s="33"/>
      <c r="U239" s="33"/>
      <c r="V239" s="33"/>
    </row>
    <row r="240" spans="1:22" ht="21" hidden="1" customHeight="1">
      <c r="A240" s="31"/>
      <c r="B240" s="31"/>
      <c r="C240" s="33"/>
      <c r="D240" s="33"/>
      <c r="E240" s="33"/>
      <c r="F240" s="110"/>
      <c r="G240" s="33"/>
      <c r="H240" s="33"/>
      <c r="I240" s="33"/>
      <c r="J240" s="33"/>
      <c r="K240" s="31"/>
      <c r="L240" s="33"/>
      <c r="M240" s="33"/>
      <c r="N240" s="33"/>
      <c r="O240" s="11"/>
      <c r="P240" s="114"/>
      <c r="Q240" s="114"/>
      <c r="R240" s="117"/>
      <c r="S240" s="33"/>
      <c r="T240" s="33"/>
      <c r="U240" s="33"/>
      <c r="V240" s="33"/>
    </row>
    <row r="241" spans="1:22" ht="21" hidden="1" customHeight="1">
      <c r="A241" s="31"/>
      <c r="B241" s="31"/>
      <c r="C241" s="33"/>
      <c r="D241" s="33"/>
      <c r="E241" s="33"/>
      <c r="F241" s="110"/>
      <c r="G241" s="33"/>
      <c r="H241" s="33"/>
      <c r="I241" s="33"/>
      <c r="J241" s="33"/>
      <c r="K241" s="31"/>
      <c r="L241" s="33"/>
      <c r="M241" s="33"/>
      <c r="N241" s="33"/>
      <c r="O241" s="11"/>
      <c r="P241" s="114"/>
      <c r="Q241" s="114"/>
      <c r="R241" s="117"/>
      <c r="S241" s="33"/>
      <c r="T241" s="33"/>
      <c r="U241" s="33"/>
      <c r="V241" s="33"/>
    </row>
    <row r="242" spans="1:22" ht="21" hidden="1" customHeight="1">
      <c r="A242" s="31"/>
      <c r="B242" s="31"/>
      <c r="C242" s="33"/>
      <c r="D242" s="33"/>
      <c r="E242" s="33"/>
      <c r="F242" s="110"/>
      <c r="G242" s="33"/>
      <c r="H242" s="33"/>
      <c r="I242" s="33"/>
      <c r="J242" s="33"/>
      <c r="K242" s="31"/>
      <c r="L242" s="33"/>
      <c r="M242" s="33"/>
      <c r="N242" s="33"/>
      <c r="O242" s="11"/>
      <c r="P242" s="114"/>
      <c r="Q242" s="114"/>
      <c r="R242" s="117"/>
      <c r="S242" s="33"/>
      <c r="T242" s="33"/>
      <c r="U242" s="33"/>
      <c r="V242" s="33"/>
    </row>
    <row r="243" spans="1:22" ht="21" hidden="1" customHeight="1">
      <c r="A243" s="31"/>
      <c r="B243" s="31"/>
      <c r="C243" s="33"/>
      <c r="D243" s="33"/>
      <c r="E243" s="33"/>
      <c r="F243" s="110"/>
      <c r="G243" s="33"/>
      <c r="H243" s="33"/>
      <c r="I243" s="33"/>
      <c r="J243" s="33"/>
      <c r="K243" s="31"/>
      <c r="L243" s="33"/>
      <c r="M243" s="33"/>
      <c r="N243" s="33"/>
      <c r="O243" s="11"/>
      <c r="P243" s="114"/>
      <c r="Q243" s="114"/>
      <c r="R243" s="117"/>
      <c r="S243" s="33"/>
      <c r="T243" s="33"/>
      <c r="U243" s="33"/>
      <c r="V243" s="33"/>
    </row>
    <row r="244" spans="1:22" ht="21" hidden="1" customHeight="1">
      <c r="A244" s="31"/>
      <c r="B244" s="31"/>
      <c r="C244" s="33"/>
      <c r="D244" s="33"/>
      <c r="E244" s="33"/>
      <c r="F244" s="110"/>
      <c r="G244" s="33"/>
      <c r="H244" s="33"/>
      <c r="I244" s="33"/>
      <c r="J244" s="33"/>
      <c r="K244" s="31"/>
      <c r="L244" s="33"/>
      <c r="M244" s="33"/>
      <c r="N244" s="33"/>
      <c r="O244" s="11"/>
      <c r="P244" s="114"/>
      <c r="Q244" s="114"/>
      <c r="R244" s="117"/>
      <c r="S244" s="33"/>
      <c r="T244" s="33"/>
      <c r="U244" s="33"/>
      <c r="V244" s="33"/>
    </row>
    <row r="245" spans="1:22" ht="21" hidden="1" customHeight="1">
      <c r="A245" s="31"/>
      <c r="B245" s="31"/>
      <c r="C245" s="33"/>
      <c r="D245" s="33"/>
      <c r="E245" s="33"/>
      <c r="F245" s="110"/>
      <c r="G245" s="33"/>
      <c r="H245" s="33"/>
      <c r="I245" s="33"/>
      <c r="J245" s="33"/>
      <c r="K245" s="31"/>
      <c r="L245" s="33"/>
      <c r="M245" s="33"/>
      <c r="N245" s="31"/>
      <c r="O245" s="11"/>
      <c r="P245" s="114"/>
      <c r="Q245" s="114"/>
      <c r="R245" s="117"/>
      <c r="S245" s="33"/>
      <c r="T245" s="33"/>
      <c r="U245" s="33"/>
      <c r="V245" s="33"/>
    </row>
    <row r="246" spans="1:22" ht="21" hidden="1" customHeight="1">
      <c r="A246" s="31"/>
      <c r="B246" s="31"/>
      <c r="C246" s="33"/>
      <c r="D246" s="33"/>
      <c r="E246" s="33"/>
      <c r="F246" s="110"/>
      <c r="G246" s="33"/>
      <c r="H246" s="33"/>
      <c r="I246" s="33"/>
      <c r="J246" s="33"/>
      <c r="K246" s="31"/>
      <c r="L246" s="33"/>
      <c r="M246" s="33"/>
      <c r="N246" s="31"/>
      <c r="O246" s="11"/>
      <c r="P246" s="114"/>
      <c r="Q246" s="114"/>
      <c r="R246" s="117"/>
      <c r="S246" s="33"/>
      <c r="T246" s="33"/>
      <c r="U246" s="33"/>
      <c r="V246" s="33"/>
    </row>
    <row r="247" spans="1:22" ht="21" hidden="1" customHeight="1">
      <c r="A247" s="31"/>
      <c r="B247" s="31"/>
      <c r="C247" s="33"/>
      <c r="D247" s="33"/>
      <c r="E247" s="33"/>
      <c r="F247" s="110"/>
      <c r="G247" s="33"/>
      <c r="H247" s="33"/>
      <c r="I247" s="33"/>
      <c r="J247" s="33"/>
      <c r="K247" s="31"/>
      <c r="L247" s="33"/>
      <c r="M247" s="33"/>
      <c r="N247" s="33"/>
      <c r="O247" s="11"/>
      <c r="P247" s="114"/>
      <c r="Q247" s="114"/>
      <c r="R247" s="117"/>
      <c r="S247" s="33"/>
      <c r="T247" s="33"/>
      <c r="U247" s="33"/>
      <c r="V247" s="33"/>
    </row>
    <row r="248" spans="1:22" ht="21" hidden="1" customHeight="1">
      <c r="A248" s="31"/>
      <c r="B248" s="31"/>
      <c r="C248" s="33"/>
      <c r="D248" s="33"/>
      <c r="E248" s="33"/>
      <c r="F248" s="110"/>
      <c r="G248" s="33"/>
      <c r="H248" s="33"/>
      <c r="I248" s="33"/>
      <c r="J248" s="33"/>
      <c r="K248" s="31"/>
      <c r="L248" s="33"/>
      <c r="M248" s="33"/>
      <c r="N248" s="33"/>
      <c r="O248" s="11"/>
      <c r="P248" s="114"/>
      <c r="Q248" s="114"/>
      <c r="R248" s="117"/>
      <c r="S248" s="33"/>
      <c r="T248" s="33"/>
      <c r="U248" s="33"/>
      <c r="V248" s="33"/>
    </row>
    <row r="249" spans="1:22" ht="21" hidden="1" customHeight="1">
      <c r="A249" s="31"/>
      <c r="B249" s="31"/>
      <c r="C249" s="33"/>
      <c r="D249" s="33"/>
      <c r="E249" s="33"/>
      <c r="F249" s="110"/>
      <c r="G249" s="33"/>
      <c r="H249" s="33"/>
      <c r="I249" s="33"/>
      <c r="J249" s="33"/>
      <c r="K249" s="31"/>
      <c r="L249" s="33"/>
      <c r="M249" s="33"/>
      <c r="N249" s="33"/>
      <c r="O249" s="11"/>
      <c r="P249" s="114"/>
      <c r="Q249" s="114"/>
      <c r="R249" s="117"/>
      <c r="S249" s="33"/>
      <c r="T249" s="33"/>
      <c r="U249" s="33"/>
      <c r="V249" s="33"/>
    </row>
    <row r="250" spans="1:22" ht="21" hidden="1" customHeight="1">
      <c r="A250" s="31"/>
      <c r="B250" s="31"/>
      <c r="C250" s="33"/>
      <c r="D250" s="33"/>
      <c r="E250" s="33"/>
      <c r="F250" s="110"/>
      <c r="G250" s="33"/>
      <c r="H250" s="33"/>
      <c r="I250" s="33"/>
      <c r="J250" s="33"/>
      <c r="K250" s="31"/>
      <c r="L250" s="33"/>
      <c r="M250" s="33"/>
      <c r="N250" s="33"/>
      <c r="O250" s="11"/>
      <c r="P250" s="114"/>
      <c r="Q250" s="114"/>
      <c r="R250" s="117"/>
      <c r="S250" s="33"/>
      <c r="T250" s="33"/>
      <c r="U250" s="33"/>
      <c r="V250" s="33"/>
    </row>
    <row r="251" spans="1:22" ht="21" hidden="1" customHeight="1">
      <c r="A251" s="31"/>
      <c r="B251" s="31"/>
      <c r="C251" s="33"/>
      <c r="D251" s="33"/>
      <c r="E251" s="33"/>
      <c r="F251" s="110"/>
      <c r="G251" s="33"/>
      <c r="H251" s="33"/>
      <c r="I251" s="33"/>
      <c r="J251" s="33"/>
      <c r="K251" s="31"/>
      <c r="L251" s="33"/>
      <c r="M251" s="33"/>
      <c r="N251" s="33"/>
      <c r="O251" s="11"/>
      <c r="P251" s="114"/>
      <c r="Q251" s="114"/>
      <c r="R251" s="117"/>
      <c r="S251" s="33"/>
      <c r="T251" s="33"/>
      <c r="U251" s="33"/>
      <c r="V251" s="33"/>
    </row>
    <row r="252" spans="1:22" ht="21" hidden="1" customHeight="1">
      <c r="A252" s="31"/>
      <c r="B252" s="31"/>
      <c r="C252" s="33"/>
      <c r="D252" s="33"/>
      <c r="E252" s="33"/>
      <c r="F252" s="110"/>
      <c r="G252" s="33"/>
      <c r="H252" s="33"/>
      <c r="I252" s="33"/>
      <c r="J252" s="33"/>
      <c r="K252" s="31"/>
      <c r="L252" s="33"/>
      <c r="M252" s="33"/>
      <c r="N252" s="33"/>
      <c r="O252" s="11"/>
      <c r="P252" s="114"/>
      <c r="Q252" s="114"/>
      <c r="R252" s="117"/>
      <c r="S252" s="33"/>
      <c r="T252" s="33"/>
      <c r="U252" s="33"/>
      <c r="V252" s="33"/>
    </row>
    <row r="253" spans="1:22" ht="21" hidden="1" customHeight="1">
      <c r="A253" s="31"/>
      <c r="B253" s="31"/>
      <c r="C253" s="33"/>
      <c r="D253" s="33"/>
      <c r="E253" s="33"/>
      <c r="F253" s="110"/>
      <c r="G253" s="33"/>
      <c r="H253" s="33"/>
      <c r="I253" s="33"/>
      <c r="J253" s="33"/>
      <c r="K253" s="31"/>
      <c r="L253" s="33"/>
      <c r="M253" s="33"/>
      <c r="N253" s="33"/>
      <c r="O253" s="11"/>
      <c r="P253" s="114"/>
      <c r="Q253" s="114"/>
      <c r="R253" s="117"/>
      <c r="S253" s="33"/>
      <c r="T253" s="33"/>
      <c r="U253" s="33"/>
      <c r="V253" s="33"/>
    </row>
    <row r="254" spans="1:22" ht="21" hidden="1" customHeight="1">
      <c r="A254" s="31"/>
      <c r="B254" s="31"/>
      <c r="C254" s="33"/>
      <c r="D254" s="33"/>
      <c r="E254" s="33"/>
      <c r="F254" s="110"/>
      <c r="G254" s="33"/>
      <c r="H254" s="33"/>
      <c r="I254" s="33"/>
      <c r="J254" s="33"/>
      <c r="K254" s="31"/>
      <c r="L254" s="33"/>
      <c r="M254" s="33"/>
      <c r="N254" s="33"/>
      <c r="O254" s="11"/>
      <c r="P254" s="114"/>
      <c r="Q254" s="114"/>
      <c r="R254" s="117"/>
      <c r="S254" s="33"/>
      <c r="T254" s="33"/>
      <c r="U254" s="33"/>
      <c r="V254" s="33"/>
    </row>
    <row r="255" spans="1:22" ht="21" hidden="1" customHeight="1">
      <c r="A255" s="31"/>
      <c r="B255" s="31"/>
      <c r="C255" s="33"/>
      <c r="D255" s="33"/>
      <c r="E255" s="33"/>
      <c r="F255" s="110"/>
      <c r="G255" s="33"/>
      <c r="H255" s="33"/>
      <c r="I255" s="33"/>
      <c r="J255" s="33"/>
      <c r="K255" s="31"/>
      <c r="L255" s="33"/>
      <c r="M255" s="33"/>
      <c r="N255" s="33"/>
      <c r="O255" s="11"/>
      <c r="P255" s="114"/>
      <c r="Q255" s="114"/>
      <c r="R255" s="117"/>
      <c r="S255" s="33"/>
      <c r="T255" s="33"/>
      <c r="U255" s="33"/>
      <c r="V255" s="33"/>
    </row>
    <row r="256" spans="1:22" ht="21" hidden="1" customHeight="1">
      <c r="A256" s="31"/>
      <c r="B256" s="31"/>
      <c r="C256" s="33"/>
      <c r="D256" s="33"/>
      <c r="E256" s="33"/>
      <c r="F256" s="110"/>
      <c r="G256" s="33"/>
      <c r="H256" s="33"/>
      <c r="I256" s="33"/>
      <c r="J256" s="33"/>
      <c r="K256" s="31"/>
      <c r="L256" s="33"/>
      <c r="M256" s="33"/>
      <c r="N256" s="33"/>
      <c r="O256" s="11"/>
      <c r="P256" s="114"/>
      <c r="Q256" s="114"/>
      <c r="R256" s="117"/>
      <c r="S256" s="33"/>
      <c r="T256" s="33"/>
      <c r="U256" s="33"/>
      <c r="V256" s="33"/>
    </row>
    <row r="257" spans="1:22" ht="21" hidden="1" customHeight="1">
      <c r="A257" s="31"/>
      <c r="B257" s="31"/>
      <c r="C257" s="33"/>
      <c r="D257" s="33"/>
      <c r="E257" s="33"/>
      <c r="F257" s="110"/>
      <c r="G257" s="33"/>
      <c r="H257" s="33"/>
      <c r="I257" s="33"/>
      <c r="J257" s="33"/>
      <c r="K257" s="31"/>
      <c r="L257" s="33"/>
      <c r="M257" s="33"/>
      <c r="N257" s="33"/>
      <c r="O257" s="11"/>
      <c r="P257" s="114"/>
      <c r="Q257" s="114"/>
      <c r="R257" s="117"/>
      <c r="S257" s="33"/>
      <c r="T257" s="33"/>
      <c r="U257" s="33"/>
      <c r="V257" s="33"/>
    </row>
    <row r="258" spans="1:22" ht="21" hidden="1" customHeight="1">
      <c r="A258" s="31"/>
      <c r="B258" s="31"/>
      <c r="C258" s="33"/>
      <c r="D258" s="33"/>
      <c r="E258" s="33"/>
      <c r="F258" s="110"/>
      <c r="G258" s="33"/>
      <c r="H258" s="33"/>
      <c r="I258" s="33"/>
      <c r="J258" s="33"/>
      <c r="K258" s="31"/>
      <c r="L258" s="33"/>
      <c r="M258" s="33"/>
      <c r="N258" s="33"/>
      <c r="O258" s="11"/>
      <c r="P258" s="114"/>
      <c r="Q258" s="114"/>
      <c r="R258" s="117"/>
      <c r="S258" s="33"/>
      <c r="T258" s="33"/>
      <c r="U258" s="33"/>
      <c r="V258" s="33"/>
    </row>
    <row r="259" spans="1:22" ht="21" hidden="1" customHeight="1">
      <c r="A259" s="31"/>
      <c r="B259" s="31"/>
      <c r="C259" s="33"/>
      <c r="D259" s="33"/>
      <c r="E259" s="33"/>
      <c r="F259" s="110"/>
      <c r="G259" s="33"/>
      <c r="H259" s="33"/>
      <c r="I259" s="33"/>
      <c r="J259" s="33"/>
      <c r="K259" s="31"/>
      <c r="L259" s="33"/>
      <c r="M259" s="33"/>
      <c r="N259" s="33"/>
      <c r="O259" s="11"/>
      <c r="P259" s="114"/>
      <c r="Q259" s="114"/>
      <c r="R259" s="117"/>
      <c r="S259" s="33"/>
      <c r="T259" s="33"/>
      <c r="U259" s="33"/>
      <c r="V259" s="33"/>
    </row>
    <row r="260" spans="1:22" ht="21" hidden="1" customHeight="1">
      <c r="A260" s="31"/>
      <c r="B260" s="31"/>
      <c r="C260" s="33"/>
      <c r="D260" s="33"/>
      <c r="E260" s="33"/>
      <c r="F260" s="110"/>
      <c r="G260" s="33"/>
      <c r="H260" s="33"/>
      <c r="I260" s="33"/>
      <c r="J260" s="33"/>
      <c r="K260" s="31"/>
      <c r="L260" s="33"/>
      <c r="M260" s="33"/>
      <c r="N260" s="33"/>
      <c r="O260" s="11"/>
      <c r="P260" s="114"/>
      <c r="Q260" s="114"/>
      <c r="R260" s="117"/>
      <c r="S260" s="33"/>
      <c r="T260" s="33"/>
      <c r="U260" s="33"/>
      <c r="V260" s="33"/>
    </row>
    <row r="261" spans="1:22" ht="21" hidden="1" customHeight="1">
      <c r="A261" s="31"/>
      <c r="B261" s="31"/>
      <c r="C261" s="33"/>
      <c r="D261" s="33"/>
      <c r="E261" s="33"/>
      <c r="F261" s="110"/>
      <c r="G261" s="33"/>
      <c r="H261" s="33"/>
      <c r="I261" s="33"/>
      <c r="J261" s="33"/>
      <c r="K261" s="31"/>
      <c r="L261" s="33"/>
      <c r="M261" s="33"/>
      <c r="N261" s="33"/>
      <c r="O261" s="11"/>
      <c r="P261" s="114"/>
      <c r="Q261" s="114"/>
      <c r="R261" s="117"/>
      <c r="S261" s="33"/>
      <c r="T261" s="33"/>
      <c r="U261" s="33"/>
      <c r="V261" s="33"/>
    </row>
    <row r="262" spans="1:22" ht="21" hidden="1" customHeight="1">
      <c r="A262" s="31"/>
      <c r="B262" s="31"/>
      <c r="C262" s="33"/>
      <c r="D262" s="33"/>
      <c r="E262" s="33"/>
      <c r="F262" s="110"/>
      <c r="G262" s="33"/>
      <c r="H262" s="33"/>
      <c r="I262" s="33"/>
      <c r="J262" s="33"/>
      <c r="K262" s="31"/>
      <c r="L262" s="33"/>
      <c r="M262" s="33"/>
      <c r="N262" s="33"/>
      <c r="O262" s="11"/>
      <c r="P262" s="114"/>
      <c r="Q262" s="114"/>
      <c r="R262" s="117"/>
      <c r="S262" s="33"/>
      <c r="T262" s="33"/>
      <c r="U262" s="33"/>
      <c r="V262" s="33"/>
    </row>
    <row r="263" spans="1:22" ht="21" hidden="1" customHeight="1">
      <c r="A263" s="31"/>
      <c r="B263" s="31"/>
      <c r="C263" s="33"/>
      <c r="D263" s="33"/>
      <c r="E263" s="33"/>
      <c r="F263" s="110"/>
      <c r="G263" s="33"/>
      <c r="H263" s="33"/>
      <c r="I263" s="33"/>
      <c r="J263" s="33"/>
      <c r="K263" s="31"/>
      <c r="L263" s="33"/>
      <c r="M263" s="33"/>
      <c r="N263" s="33"/>
      <c r="O263" s="11"/>
      <c r="P263" s="114"/>
      <c r="Q263" s="114"/>
      <c r="R263" s="117"/>
      <c r="S263" s="33"/>
      <c r="T263" s="33"/>
      <c r="U263" s="33"/>
      <c r="V263" s="33"/>
    </row>
    <row r="264" spans="1:22" ht="21" hidden="1" customHeight="1">
      <c r="A264" s="31"/>
      <c r="B264" s="31"/>
      <c r="C264" s="33"/>
      <c r="D264" s="33"/>
      <c r="E264" s="33"/>
      <c r="F264" s="110"/>
      <c r="G264" s="33"/>
      <c r="H264" s="33"/>
      <c r="I264" s="33"/>
      <c r="J264" s="33"/>
      <c r="K264" s="31"/>
      <c r="L264" s="33"/>
      <c r="M264" s="33"/>
      <c r="N264" s="33"/>
      <c r="O264" s="11"/>
      <c r="P264" s="114"/>
      <c r="Q264" s="114"/>
      <c r="R264" s="117"/>
      <c r="S264" s="33"/>
      <c r="T264" s="33"/>
      <c r="U264" s="33"/>
      <c r="V264" s="33"/>
    </row>
    <row r="265" spans="1:22" ht="21" hidden="1" customHeight="1">
      <c r="A265" s="31"/>
      <c r="B265" s="31"/>
      <c r="C265" s="33"/>
      <c r="D265" s="33"/>
      <c r="E265" s="33"/>
      <c r="F265" s="110"/>
      <c r="G265" s="33"/>
      <c r="H265" s="33"/>
      <c r="I265" s="33"/>
      <c r="J265" s="33"/>
      <c r="K265" s="31"/>
      <c r="L265" s="33"/>
      <c r="M265" s="33"/>
      <c r="N265" s="33"/>
      <c r="O265" s="11"/>
      <c r="P265" s="114"/>
      <c r="Q265" s="114"/>
      <c r="R265" s="117"/>
      <c r="S265" s="33"/>
      <c r="T265" s="33"/>
      <c r="U265" s="33"/>
      <c r="V265" s="33"/>
    </row>
    <row r="266" spans="1:22" ht="21" hidden="1" customHeight="1">
      <c r="A266" s="31"/>
      <c r="B266" s="31"/>
      <c r="C266" s="33"/>
      <c r="D266" s="33"/>
      <c r="E266" s="33"/>
      <c r="F266" s="110"/>
      <c r="G266" s="33"/>
      <c r="H266" s="33"/>
      <c r="I266" s="33"/>
      <c r="J266" s="33"/>
      <c r="K266" s="31"/>
      <c r="L266" s="33"/>
      <c r="M266" s="33"/>
      <c r="N266" s="33"/>
      <c r="O266" s="11"/>
      <c r="P266" s="114"/>
      <c r="Q266" s="114"/>
      <c r="R266" s="117"/>
      <c r="S266" s="33"/>
      <c r="T266" s="33"/>
      <c r="U266" s="33"/>
      <c r="V266" s="33"/>
    </row>
    <row r="267" spans="1:22" ht="21" hidden="1" customHeight="1">
      <c r="A267" s="31"/>
      <c r="B267" s="31"/>
      <c r="C267" s="33"/>
      <c r="D267" s="33"/>
      <c r="E267" s="33"/>
      <c r="F267" s="110"/>
      <c r="G267" s="33"/>
      <c r="H267" s="33"/>
      <c r="I267" s="33"/>
      <c r="J267" s="33"/>
      <c r="K267" s="31"/>
      <c r="L267" s="33"/>
      <c r="M267" s="33"/>
      <c r="N267" s="33"/>
      <c r="O267" s="11"/>
      <c r="P267" s="114"/>
      <c r="Q267" s="114"/>
      <c r="R267" s="117"/>
      <c r="S267" s="33"/>
      <c r="T267" s="33"/>
      <c r="U267" s="33"/>
      <c r="V267" s="33"/>
    </row>
    <row r="268" spans="1:22" ht="21" hidden="1" customHeight="1">
      <c r="A268" s="31"/>
      <c r="B268" s="31"/>
      <c r="C268" s="33"/>
      <c r="D268" s="33"/>
      <c r="E268" s="33"/>
      <c r="F268" s="110"/>
      <c r="G268" s="33"/>
      <c r="H268" s="33"/>
      <c r="I268" s="33"/>
      <c r="J268" s="33"/>
      <c r="K268" s="31"/>
      <c r="L268" s="33"/>
      <c r="M268" s="33"/>
      <c r="N268" s="33"/>
      <c r="O268" s="11"/>
      <c r="P268" s="114"/>
      <c r="Q268" s="114"/>
      <c r="R268" s="117"/>
      <c r="S268" s="33"/>
      <c r="T268" s="33"/>
      <c r="U268" s="33"/>
      <c r="V268" s="33"/>
    </row>
    <row r="269" spans="1:22" ht="21" hidden="1" customHeight="1">
      <c r="A269" s="31"/>
      <c r="B269" s="31"/>
      <c r="C269" s="33"/>
      <c r="D269" s="33"/>
      <c r="E269" s="33"/>
      <c r="F269" s="110"/>
      <c r="G269" s="33"/>
      <c r="H269" s="33"/>
      <c r="I269" s="33"/>
      <c r="J269" s="33"/>
      <c r="K269" s="31"/>
      <c r="L269" s="33"/>
      <c r="M269" s="33"/>
      <c r="N269" s="33"/>
      <c r="O269" s="11"/>
      <c r="P269" s="114"/>
      <c r="Q269" s="114"/>
      <c r="R269" s="117"/>
      <c r="S269" s="33"/>
      <c r="T269" s="33"/>
      <c r="U269" s="33"/>
      <c r="V269" s="33"/>
    </row>
    <row r="270" spans="1:22" ht="21" hidden="1" customHeight="1">
      <c r="A270" s="31"/>
      <c r="B270" s="31"/>
      <c r="C270" s="33"/>
      <c r="D270" s="33"/>
      <c r="E270" s="33"/>
      <c r="F270" s="110"/>
      <c r="G270" s="33"/>
      <c r="H270" s="33"/>
      <c r="I270" s="33"/>
      <c r="J270" s="33"/>
      <c r="K270" s="31"/>
      <c r="L270" s="33"/>
      <c r="M270" s="33"/>
      <c r="N270" s="33"/>
      <c r="O270" s="11"/>
      <c r="P270" s="114"/>
      <c r="Q270" s="114"/>
      <c r="R270" s="117"/>
      <c r="S270" s="33"/>
      <c r="T270" s="33"/>
      <c r="U270" s="33"/>
      <c r="V270" s="33"/>
    </row>
    <row r="271" spans="1:22" ht="21" hidden="1" customHeight="1">
      <c r="A271" s="31"/>
      <c r="B271" s="31"/>
      <c r="C271" s="33"/>
      <c r="D271" s="33"/>
      <c r="E271" s="33"/>
      <c r="F271" s="110"/>
      <c r="G271" s="33"/>
      <c r="H271" s="33"/>
      <c r="I271" s="33"/>
      <c r="J271" s="33"/>
      <c r="K271" s="31"/>
      <c r="L271" s="33"/>
      <c r="M271" s="33"/>
      <c r="N271" s="33"/>
      <c r="O271" s="11"/>
      <c r="P271" s="114"/>
      <c r="Q271" s="114"/>
      <c r="R271" s="117"/>
      <c r="S271" s="33"/>
      <c r="T271" s="33"/>
      <c r="U271" s="33"/>
      <c r="V271" s="33"/>
    </row>
    <row r="272" spans="1:22" ht="21" hidden="1" customHeight="1">
      <c r="A272" s="31"/>
      <c r="B272" s="31"/>
      <c r="C272" s="33"/>
      <c r="D272" s="33"/>
      <c r="E272" s="33"/>
      <c r="F272" s="110"/>
      <c r="G272" s="33"/>
      <c r="H272" s="33"/>
      <c r="I272" s="33"/>
      <c r="J272" s="33"/>
      <c r="K272" s="31"/>
      <c r="L272" s="33"/>
      <c r="M272" s="33"/>
      <c r="N272" s="33"/>
      <c r="O272" s="11"/>
      <c r="P272" s="114"/>
      <c r="Q272" s="114"/>
      <c r="R272" s="117"/>
      <c r="S272" s="33"/>
      <c r="T272" s="33"/>
      <c r="U272" s="33"/>
      <c r="V272" s="33"/>
    </row>
    <row r="273" spans="1:22" ht="21" hidden="1" customHeight="1">
      <c r="A273" s="31"/>
      <c r="B273" s="31"/>
      <c r="C273" s="33"/>
      <c r="D273" s="33"/>
      <c r="E273" s="33"/>
      <c r="F273" s="110"/>
      <c r="G273" s="33"/>
      <c r="H273" s="33"/>
      <c r="I273" s="33"/>
      <c r="J273" s="33"/>
      <c r="K273" s="31"/>
      <c r="L273" s="33"/>
      <c r="M273" s="33"/>
      <c r="N273" s="33"/>
      <c r="O273" s="11"/>
      <c r="P273" s="114"/>
      <c r="Q273" s="114"/>
      <c r="R273" s="117"/>
      <c r="S273" s="33"/>
      <c r="T273" s="33"/>
      <c r="U273" s="33"/>
      <c r="V273" s="33"/>
    </row>
    <row r="274" spans="1:22" ht="21" hidden="1" customHeight="1">
      <c r="A274" s="31"/>
      <c r="B274" s="31"/>
      <c r="C274" s="33"/>
      <c r="D274" s="33"/>
      <c r="E274" s="33"/>
      <c r="F274" s="110"/>
      <c r="G274" s="33"/>
      <c r="H274" s="33"/>
      <c r="I274" s="33"/>
      <c r="J274" s="33"/>
      <c r="K274" s="31"/>
      <c r="L274" s="33"/>
      <c r="M274" s="33"/>
      <c r="N274" s="33"/>
      <c r="O274" s="11"/>
      <c r="P274" s="114"/>
      <c r="Q274" s="114"/>
      <c r="R274" s="117"/>
      <c r="S274" s="33"/>
      <c r="T274" s="33"/>
      <c r="U274" s="33"/>
      <c r="V274" s="33"/>
    </row>
    <row r="275" spans="1:22" ht="21" hidden="1" customHeight="1">
      <c r="A275" s="31"/>
      <c r="B275" s="31"/>
      <c r="C275" s="33"/>
      <c r="D275" s="33"/>
      <c r="E275" s="33"/>
      <c r="F275" s="110"/>
      <c r="G275" s="33"/>
      <c r="H275" s="33"/>
      <c r="I275" s="33"/>
      <c r="J275" s="33"/>
      <c r="K275" s="31"/>
      <c r="L275" s="33"/>
      <c r="M275" s="33"/>
      <c r="N275" s="33"/>
      <c r="O275" s="11"/>
      <c r="P275" s="114"/>
      <c r="Q275" s="114"/>
      <c r="R275" s="117"/>
      <c r="S275" s="33"/>
      <c r="T275" s="33"/>
      <c r="U275" s="33"/>
      <c r="V275" s="33"/>
    </row>
    <row r="276" spans="1:22" ht="21" hidden="1" customHeight="1">
      <c r="A276" s="31"/>
      <c r="B276" s="31"/>
      <c r="C276" s="33"/>
      <c r="D276" s="33"/>
      <c r="E276" s="33"/>
      <c r="F276" s="110"/>
      <c r="G276" s="33"/>
      <c r="H276" s="33"/>
      <c r="I276" s="33"/>
      <c r="J276" s="33"/>
      <c r="K276" s="31"/>
      <c r="L276" s="33"/>
      <c r="M276" s="33"/>
      <c r="N276" s="31"/>
      <c r="O276" s="11"/>
      <c r="P276" s="114"/>
      <c r="Q276" s="114"/>
      <c r="R276" s="117"/>
      <c r="S276" s="33"/>
      <c r="T276" s="33"/>
      <c r="U276" s="33"/>
      <c r="V276" s="33"/>
    </row>
    <row r="277" spans="1:22" ht="21" hidden="1" customHeight="1">
      <c r="A277" s="31"/>
      <c r="B277" s="31"/>
      <c r="C277" s="33"/>
      <c r="D277" s="33"/>
      <c r="E277" s="33"/>
      <c r="F277" s="110"/>
      <c r="G277" s="33"/>
      <c r="H277" s="33"/>
      <c r="I277" s="33"/>
      <c r="J277" s="33"/>
      <c r="K277" s="31"/>
      <c r="L277" s="33"/>
      <c r="M277" s="33"/>
      <c r="N277" s="31"/>
      <c r="O277" s="11"/>
      <c r="P277" s="114"/>
      <c r="Q277" s="114"/>
      <c r="R277" s="117"/>
      <c r="S277" s="33"/>
      <c r="T277" s="33"/>
      <c r="U277" s="33"/>
      <c r="V277" s="33"/>
    </row>
    <row r="278" spans="1:22" ht="21" hidden="1" customHeight="1">
      <c r="A278" s="31"/>
      <c r="B278" s="31"/>
      <c r="C278" s="33"/>
      <c r="D278" s="33"/>
      <c r="E278" s="33"/>
      <c r="F278" s="110"/>
      <c r="G278" s="33"/>
      <c r="H278" s="33"/>
      <c r="I278" s="33"/>
      <c r="J278" s="33"/>
      <c r="K278" s="31"/>
      <c r="L278" s="33"/>
      <c r="M278" s="33"/>
      <c r="N278" s="31"/>
      <c r="O278" s="11"/>
      <c r="P278" s="114"/>
      <c r="Q278" s="114"/>
      <c r="R278" s="117"/>
      <c r="S278" s="33"/>
      <c r="T278" s="33"/>
      <c r="U278" s="33"/>
      <c r="V278" s="33"/>
    </row>
    <row r="279" spans="1:22" ht="21" hidden="1" customHeight="1">
      <c r="A279" s="31"/>
      <c r="B279" s="31"/>
      <c r="C279" s="33"/>
      <c r="D279" s="33"/>
      <c r="E279" s="33"/>
      <c r="F279" s="110"/>
      <c r="G279" s="33"/>
      <c r="H279" s="33"/>
      <c r="I279" s="33"/>
      <c r="J279" s="33"/>
      <c r="K279" s="31"/>
      <c r="L279" s="33"/>
      <c r="M279" s="33"/>
      <c r="N279" s="31"/>
      <c r="O279" s="11"/>
      <c r="P279" s="114"/>
      <c r="Q279" s="114"/>
      <c r="R279" s="117"/>
      <c r="S279" s="33"/>
      <c r="T279" s="33"/>
      <c r="U279" s="33"/>
      <c r="V279" s="33"/>
    </row>
    <row r="280" spans="1:22" ht="21" hidden="1" customHeight="1">
      <c r="A280" s="31"/>
      <c r="B280" s="31"/>
      <c r="C280" s="33"/>
      <c r="D280" s="33"/>
      <c r="E280" s="33"/>
      <c r="F280" s="110"/>
      <c r="G280" s="33"/>
      <c r="H280" s="33"/>
      <c r="I280" s="33"/>
      <c r="J280" s="33"/>
      <c r="K280" s="31"/>
      <c r="L280" s="33"/>
      <c r="M280" s="33"/>
      <c r="N280" s="31"/>
      <c r="O280" s="11"/>
      <c r="P280" s="114"/>
      <c r="Q280" s="114"/>
      <c r="R280" s="117"/>
      <c r="S280" s="33"/>
      <c r="T280" s="33"/>
      <c r="U280" s="33"/>
      <c r="V280" s="33"/>
    </row>
    <row r="281" spans="1:22" ht="21" hidden="1" customHeight="1">
      <c r="A281" s="31"/>
      <c r="B281" s="31"/>
      <c r="C281" s="33"/>
      <c r="D281" s="33"/>
      <c r="E281" s="33"/>
      <c r="F281" s="110"/>
      <c r="G281" s="33"/>
      <c r="H281" s="33"/>
      <c r="I281" s="33"/>
      <c r="J281" s="33"/>
      <c r="K281" s="31"/>
      <c r="L281" s="33"/>
      <c r="M281" s="33"/>
      <c r="N281" s="31"/>
      <c r="O281" s="11"/>
      <c r="P281" s="114"/>
      <c r="Q281" s="114"/>
      <c r="R281" s="117"/>
      <c r="S281" s="33"/>
      <c r="T281" s="33"/>
      <c r="U281" s="33"/>
      <c r="V281" s="33"/>
    </row>
    <row r="282" spans="1:22" ht="21" hidden="1" customHeight="1">
      <c r="A282" s="31"/>
      <c r="B282" s="31"/>
      <c r="C282" s="33"/>
      <c r="D282" s="33"/>
      <c r="E282" s="33"/>
      <c r="F282" s="110"/>
      <c r="G282" s="33"/>
      <c r="H282" s="33"/>
      <c r="I282" s="33"/>
      <c r="J282" s="33"/>
      <c r="K282" s="31"/>
      <c r="L282" s="33"/>
      <c r="M282" s="33"/>
      <c r="N282" s="33"/>
      <c r="O282" s="11"/>
      <c r="P282" s="114"/>
      <c r="Q282" s="114"/>
      <c r="R282" s="117"/>
      <c r="S282" s="33"/>
      <c r="T282" s="33"/>
      <c r="U282" s="33"/>
      <c r="V282" s="33"/>
    </row>
    <row r="283" spans="1:22" ht="21" hidden="1" customHeight="1">
      <c r="A283" s="31"/>
      <c r="B283" s="31"/>
      <c r="C283" s="33"/>
      <c r="D283" s="33"/>
      <c r="E283" s="33"/>
      <c r="F283" s="110"/>
      <c r="G283" s="33"/>
      <c r="H283" s="33"/>
      <c r="I283" s="33"/>
      <c r="J283" s="33"/>
      <c r="K283" s="31"/>
      <c r="L283" s="33"/>
      <c r="M283" s="33"/>
      <c r="N283" s="31"/>
      <c r="O283" s="11"/>
      <c r="P283" s="114"/>
      <c r="Q283" s="114"/>
      <c r="R283" s="117"/>
      <c r="S283" s="33"/>
      <c r="T283" s="33"/>
      <c r="U283" s="33"/>
      <c r="V283" s="33"/>
    </row>
    <row r="284" spans="1:22" ht="21" hidden="1" customHeight="1">
      <c r="A284" s="31"/>
      <c r="B284" s="31"/>
      <c r="C284" s="33"/>
      <c r="D284" s="33"/>
      <c r="E284" s="33"/>
      <c r="F284" s="110"/>
      <c r="G284" s="33"/>
      <c r="H284" s="33"/>
      <c r="I284" s="33"/>
      <c r="J284" s="33"/>
      <c r="K284" s="31"/>
      <c r="L284" s="33"/>
      <c r="M284" s="33"/>
      <c r="N284" s="33"/>
      <c r="O284" s="11"/>
      <c r="P284" s="114"/>
      <c r="Q284" s="114"/>
      <c r="R284" s="117"/>
      <c r="S284" s="33"/>
      <c r="T284" s="33"/>
      <c r="U284" s="33"/>
      <c r="V284" s="33"/>
    </row>
    <row r="285" spans="1:22" ht="21" hidden="1" customHeight="1">
      <c r="A285" s="31"/>
      <c r="B285" s="31"/>
      <c r="C285" s="33"/>
      <c r="D285" s="33"/>
      <c r="E285" s="33"/>
      <c r="F285" s="110"/>
      <c r="G285" s="33"/>
      <c r="H285" s="33"/>
      <c r="I285" s="33"/>
      <c r="J285" s="33"/>
      <c r="K285" s="31"/>
      <c r="L285" s="33"/>
      <c r="M285" s="33"/>
      <c r="N285" s="33"/>
      <c r="O285" s="11"/>
      <c r="P285" s="114"/>
      <c r="Q285" s="114"/>
      <c r="R285" s="117"/>
      <c r="S285" s="33"/>
      <c r="T285" s="33"/>
      <c r="U285" s="33"/>
      <c r="V285" s="33"/>
    </row>
    <row r="286" spans="1:22" ht="21" hidden="1" customHeight="1">
      <c r="A286" s="31"/>
      <c r="B286" s="31"/>
      <c r="C286" s="33"/>
      <c r="D286" s="33"/>
      <c r="E286" s="33"/>
      <c r="F286" s="110"/>
      <c r="G286" s="33"/>
      <c r="H286" s="33"/>
      <c r="I286" s="33"/>
      <c r="J286" s="33"/>
      <c r="K286" s="31"/>
      <c r="L286" s="33"/>
      <c r="M286" s="33"/>
      <c r="N286" s="33"/>
      <c r="O286" s="11"/>
      <c r="P286" s="114"/>
      <c r="Q286" s="114"/>
      <c r="R286" s="117"/>
      <c r="S286" s="33"/>
      <c r="T286" s="33"/>
      <c r="U286" s="33"/>
      <c r="V286" s="33"/>
    </row>
    <row r="287" spans="1:22" ht="21" hidden="1" customHeight="1">
      <c r="A287" s="31"/>
      <c r="B287" s="31"/>
      <c r="C287" s="33"/>
      <c r="D287" s="33"/>
      <c r="E287" s="33"/>
      <c r="F287" s="110"/>
      <c r="G287" s="33"/>
      <c r="H287" s="33"/>
      <c r="I287" s="33"/>
      <c r="J287" s="33"/>
      <c r="K287" s="31"/>
      <c r="L287" s="33"/>
      <c r="M287" s="33"/>
      <c r="N287" s="33"/>
      <c r="O287" s="11"/>
      <c r="P287" s="114"/>
      <c r="Q287" s="114"/>
      <c r="R287" s="117"/>
      <c r="S287" s="33"/>
      <c r="T287" s="33"/>
      <c r="U287" s="33"/>
      <c r="V287" s="33"/>
    </row>
    <row r="288" spans="1:22" ht="21" hidden="1" customHeight="1">
      <c r="A288" s="31"/>
      <c r="B288" s="31"/>
      <c r="C288" s="33"/>
      <c r="D288" s="33"/>
      <c r="E288" s="33"/>
      <c r="F288" s="110"/>
      <c r="G288" s="33"/>
      <c r="H288" s="33"/>
      <c r="I288" s="33"/>
      <c r="J288" s="33"/>
      <c r="K288" s="31"/>
      <c r="L288" s="33"/>
      <c r="M288" s="33"/>
      <c r="N288" s="33"/>
      <c r="O288" s="11"/>
      <c r="P288" s="114"/>
      <c r="Q288" s="114"/>
      <c r="R288" s="117"/>
      <c r="S288" s="33"/>
      <c r="T288" s="33"/>
      <c r="U288" s="33"/>
      <c r="V288" s="33"/>
    </row>
    <row r="289" spans="1:22" ht="21" hidden="1" customHeight="1">
      <c r="A289" s="31"/>
      <c r="B289" s="31"/>
      <c r="C289" s="123"/>
      <c r="D289" s="122"/>
      <c r="E289" s="123"/>
      <c r="F289" s="124"/>
      <c r="G289" s="123"/>
      <c r="H289" s="123"/>
      <c r="I289" s="33"/>
      <c r="J289" s="33"/>
      <c r="K289" s="31"/>
      <c r="L289" s="33"/>
      <c r="M289" s="33"/>
      <c r="N289" s="122"/>
      <c r="O289" s="108"/>
      <c r="P289" s="114"/>
      <c r="Q289" s="114"/>
      <c r="R289" s="118"/>
      <c r="S289" s="33"/>
      <c r="T289" s="33"/>
      <c r="U289" s="33"/>
      <c r="V289" s="33"/>
    </row>
    <row r="290" spans="1:22" ht="21" hidden="1" customHeight="1">
      <c r="A290" s="31"/>
      <c r="B290" s="31"/>
      <c r="C290" s="33"/>
      <c r="D290" s="33"/>
      <c r="E290" s="33"/>
      <c r="F290" s="110"/>
      <c r="G290" s="33"/>
      <c r="H290" s="33"/>
      <c r="I290" s="33"/>
      <c r="J290" s="33"/>
      <c r="K290" s="33"/>
      <c r="L290" s="33"/>
      <c r="M290" s="33"/>
      <c r="N290" s="33"/>
      <c r="O290" s="108"/>
      <c r="P290" s="114"/>
      <c r="Q290" s="114"/>
      <c r="R290" s="118"/>
      <c r="S290" s="33"/>
      <c r="T290" s="33"/>
      <c r="U290" s="33"/>
      <c r="V290" s="33"/>
    </row>
    <row r="291" spans="1:22" ht="21" hidden="1" customHeight="1">
      <c r="A291" s="31"/>
      <c r="B291" s="31"/>
      <c r="C291" s="33"/>
      <c r="D291" s="33"/>
      <c r="E291" s="33"/>
      <c r="F291" s="110"/>
      <c r="G291" s="33"/>
      <c r="H291" s="33"/>
      <c r="I291" s="33"/>
      <c r="J291" s="33"/>
      <c r="K291" s="33"/>
      <c r="L291" s="33"/>
      <c r="M291" s="33"/>
      <c r="N291" s="33"/>
      <c r="O291" s="108"/>
      <c r="P291" s="114"/>
      <c r="Q291" s="114"/>
      <c r="R291" s="118"/>
      <c r="S291" s="33"/>
      <c r="T291" s="33"/>
      <c r="U291" s="33"/>
      <c r="V291" s="33"/>
    </row>
    <row r="292" spans="1:22" ht="21" hidden="1" customHeight="1">
      <c r="A292" s="31"/>
      <c r="B292" s="31"/>
      <c r="C292" s="33"/>
      <c r="D292" s="33"/>
      <c r="E292" s="33"/>
      <c r="F292" s="110"/>
      <c r="G292" s="33"/>
      <c r="H292" s="33"/>
      <c r="I292" s="33"/>
      <c r="J292" s="33"/>
      <c r="K292" s="33"/>
      <c r="L292" s="33"/>
      <c r="M292" s="33"/>
      <c r="N292" s="33"/>
      <c r="O292" s="108"/>
      <c r="P292" s="114"/>
      <c r="Q292" s="114"/>
      <c r="R292" s="118"/>
      <c r="S292" s="33"/>
      <c r="T292" s="33"/>
      <c r="U292" s="33"/>
      <c r="V292" s="33"/>
    </row>
    <row r="293" spans="1:22" ht="21" hidden="1" customHeight="1">
      <c r="A293" s="31"/>
      <c r="B293" s="31"/>
      <c r="C293" s="33"/>
      <c r="D293" s="33"/>
      <c r="E293" s="33"/>
      <c r="F293" s="110"/>
      <c r="G293" s="33"/>
      <c r="H293" s="33"/>
      <c r="I293" s="33"/>
      <c r="J293" s="33"/>
      <c r="K293" s="33"/>
      <c r="L293" s="33"/>
      <c r="M293" s="33"/>
      <c r="N293" s="33"/>
      <c r="O293" s="108"/>
      <c r="P293" s="114"/>
      <c r="Q293" s="114"/>
      <c r="R293" s="118"/>
      <c r="S293" s="33"/>
      <c r="T293" s="33"/>
      <c r="U293" s="33"/>
      <c r="V293" s="33"/>
    </row>
    <row r="294" spans="1:22" ht="21" hidden="1" customHeight="1">
      <c r="A294" s="31"/>
      <c r="B294" s="31"/>
      <c r="C294" s="33"/>
      <c r="D294" s="33"/>
      <c r="E294" s="33"/>
      <c r="F294" s="110"/>
      <c r="G294" s="33"/>
      <c r="H294" s="33"/>
      <c r="I294" s="33"/>
      <c r="J294" s="33"/>
      <c r="K294" s="33"/>
      <c r="L294" s="33"/>
      <c r="M294" s="33"/>
      <c r="N294" s="33"/>
      <c r="O294" s="108"/>
      <c r="P294" s="114"/>
      <c r="Q294" s="114"/>
      <c r="R294" s="118"/>
      <c r="S294" s="33"/>
      <c r="T294" s="33"/>
      <c r="U294" s="33"/>
      <c r="V294" s="33"/>
    </row>
    <row r="295" spans="1:22" ht="21" hidden="1" customHeight="1">
      <c r="A295" s="31"/>
      <c r="B295" s="31"/>
      <c r="C295" s="33"/>
      <c r="D295" s="33"/>
      <c r="E295" s="33"/>
      <c r="F295" s="110"/>
      <c r="G295" s="33"/>
      <c r="H295" s="33"/>
      <c r="I295" s="33"/>
      <c r="J295" s="33"/>
      <c r="K295" s="33"/>
      <c r="L295" s="33"/>
      <c r="M295" s="33"/>
      <c r="N295" s="33"/>
      <c r="O295" s="108"/>
      <c r="P295" s="114"/>
      <c r="Q295" s="114"/>
      <c r="R295" s="118"/>
      <c r="S295" s="33"/>
      <c r="T295" s="33"/>
      <c r="U295" s="33"/>
      <c r="V295" s="33"/>
    </row>
    <row r="296" spans="1:22" ht="21" hidden="1" customHeight="1">
      <c r="A296" s="31"/>
      <c r="B296" s="31"/>
      <c r="C296" s="33"/>
      <c r="D296" s="33"/>
      <c r="E296" s="33"/>
      <c r="F296" s="110"/>
      <c r="G296" s="33"/>
      <c r="H296" s="33"/>
      <c r="I296" s="33"/>
      <c r="J296" s="33"/>
      <c r="K296" s="33"/>
      <c r="L296" s="33"/>
      <c r="M296" s="33"/>
      <c r="N296" s="33"/>
      <c r="O296" s="108"/>
      <c r="P296" s="114"/>
      <c r="Q296" s="114"/>
      <c r="R296" s="118"/>
      <c r="S296" s="33"/>
      <c r="T296" s="33"/>
      <c r="U296" s="33"/>
      <c r="V296" s="33"/>
    </row>
    <row r="297" spans="1:22" ht="21" hidden="1" customHeight="1">
      <c r="A297" s="31"/>
      <c r="B297" s="31"/>
      <c r="C297" s="33"/>
      <c r="D297" s="33"/>
      <c r="E297" s="33"/>
      <c r="F297" s="110"/>
      <c r="G297" s="33"/>
      <c r="H297" s="33"/>
      <c r="I297" s="33"/>
      <c r="J297" s="33"/>
      <c r="K297" s="33"/>
      <c r="L297" s="33"/>
      <c r="M297" s="33"/>
      <c r="N297" s="33"/>
      <c r="O297" s="108"/>
      <c r="P297" s="114"/>
      <c r="Q297" s="114"/>
      <c r="R297" s="118"/>
      <c r="S297" s="33"/>
      <c r="T297" s="33"/>
      <c r="U297" s="33"/>
      <c r="V297" s="33"/>
    </row>
    <row r="298" spans="1:22" ht="21" hidden="1" customHeight="1">
      <c r="A298" s="31"/>
      <c r="B298" s="31"/>
      <c r="C298" s="33"/>
      <c r="D298" s="33"/>
      <c r="E298" s="33"/>
      <c r="F298" s="110"/>
      <c r="G298" s="33"/>
      <c r="H298" s="33"/>
      <c r="I298" s="33"/>
      <c r="J298" s="33"/>
      <c r="K298" s="33"/>
      <c r="L298" s="33"/>
      <c r="M298" s="33"/>
      <c r="N298" s="33"/>
      <c r="O298" s="108"/>
      <c r="P298" s="114"/>
      <c r="Q298" s="114"/>
      <c r="R298" s="118"/>
      <c r="S298" s="33"/>
      <c r="T298" s="33"/>
      <c r="U298" s="33"/>
      <c r="V298" s="33"/>
    </row>
    <row r="299" spans="1:22" ht="21" hidden="1" customHeight="1">
      <c r="A299" s="31"/>
      <c r="B299" s="31"/>
      <c r="C299" s="33"/>
      <c r="D299" s="33"/>
      <c r="E299" s="33"/>
      <c r="F299" s="110"/>
      <c r="G299" s="33"/>
      <c r="H299" s="33"/>
      <c r="I299" s="33"/>
      <c r="J299" s="33"/>
      <c r="K299" s="33"/>
      <c r="L299" s="33"/>
      <c r="M299" s="33"/>
      <c r="N299" s="33"/>
      <c r="O299" s="108"/>
      <c r="P299" s="114"/>
      <c r="Q299" s="114"/>
      <c r="R299" s="118"/>
      <c r="S299" s="33"/>
      <c r="T299" s="33"/>
      <c r="U299" s="33"/>
      <c r="V299" s="33"/>
    </row>
    <row r="300" spans="1:22" ht="21" hidden="1" customHeight="1">
      <c r="A300" s="33"/>
      <c r="B300" s="33"/>
      <c r="C300" s="33"/>
      <c r="D300" s="33"/>
      <c r="E300" s="33"/>
      <c r="F300" s="110"/>
      <c r="G300" s="33"/>
      <c r="H300" s="33"/>
      <c r="I300" s="33"/>
      <c r="J300" s="33"/>
      <c r="K300" s="33"/>
      <c r="L300" s="33"/>
      <c r="M300" s="33"/>
      <c r="N300" s="33"/>
      <c r="O300" s="108"/>
      <c r="P300" s="114"/>
      <c r="Q300" s="114"/>
      <c r="R300" s="118"/>
      <c r="S300" s="33"/>
      <c r="T300" s="33"/>
      <c r="U300" s="33"/>
      <c r="V300" s="33"/>
    </row>
    <row r="301" spans="1:22" ht="21" hidden="1" customHeight="1">
      <c r="A301" s="33"/>
      <c r="B301" s="33"/>
      <c r="C301" s="33"/>
      <c r="D301" s="33"/>
      <c r="E301" s="33"/>
      <c r="F301" s="110"/>
      <c r="G301" s="33"/>
      <c r="H301" s="33"/>
      <c r="I301" s="33"/>
      <c r="J301" s="33"/>
      <c r="K301" s="33"/>
      <c r="L301" s="33"/>
      <c r="M301" s="33"/>
      <c r="N301" s="33"/>
      <c r="O301" s="108"/>
      <c r="P301" s="114"/>
      <c r="Q301" s="114"/>
      <c r="R301" s="118"/>
      <c r="S301" s="33"/>
      <c r="T301" s="33"/>
      <c r="U301" s="33"/>
      <c r="V301" s="33"/>
    </row>
    <row r="302" spans="1:22" ht="21" hidden="1" customHeight="1">
      <c r="A302" s="33"/>
      <c r="B302" s="33"/>
      <c r="C302" s="33"/>
      <c r="D302" s="33"/>
      <c r="E302" s="33"/>
      <c r="F302" s="110"/>
      <c r="G302" s="33"/>
      <c r="H302" s="33"/>
      <c r="I302" s="33"/>
      <c r="J302" s="33"/>
      <c r="K302" s="33"/>
      <c r="L302" s="33"/>
      <c r="M302" s="33"/>
      <c r="N302" s="33"/>
      <c r="O302" s="108"/>
      <c r="P302" s="114"/>
      <c r="Q302" s="114"/>
      <c r="R302" s="118"/>
      <c r="S302" s="33"/>
      <c r="T302" s="33"/>
      <c r="U302" s="33"/>
      <c r="V302" s="33"/>
    </row>
    <row r="303" spans="1:22" ht="21" hidden="1" customHeight="1">
      <c r="A303" s="33"/>
      <c r="B303" s="33"/>
      <c r="C303" s="33"/>
      <c r="D303" s="33"/>
      <c r="E303" s="33"/>
      <c r="F303" s="110"/>
      <c r="G303" s="33"/>
      <c r="H303" s="33"/>
      <c r="I303" s="33"/>
      <c r="J303" s="33"/>
      <c r="K303" s="33"/>
      <c r="L303" s="33"/>
      <c r="M303" s="33"/>
      <c r="N303" s="33"/>
      <c r="O303" s="108"/>
      <c r="P303" s="114"/>
      <c r="Q303" s="114"/>
      <c r="R303" s="118"/>
      <c r="S303" s="33"/>
      <c r="T303" s="33"/>
      <c r="U303" s="33"/>
      <c r="V303" s="33"/>
    </row>
    <row r="304" spans="1:22" ht="21" hidden="1" customHeight="1">
      <c r="A304" s="33"/>
      <c r="B304" s="33"/>
      <c r="C304" s="33"/>
      <c r="D304" s="33"/>
      <c r="E304" s="33"/>
      <c r="F304" s="110"/>
      <c r="G304" s="33"/>
      <c r="H304" s="33"/>
      <c r="I304" s="33"/>
      <c r="J304" s="33"/>
      <c r="K304" s="33"/>
      <c r="L304" s="33"/>
      <c r="M304" s="33"/>
      <c r="N304" s="33"/>
      <c r="O304" s="108"/>
      <c r="P304" s="114"/>
      <c r="Q304" s="114"/>
      <c r="R304" s="118"/>
      <c r="S304" s="33"/>
      <c r="T304" s="33"/>
      <c r="U304" s="33"/>
      <c r="V304" s="33"/>
    </row>
    <row r="305" spans="1:22" ht="21" hidden="1" customHeight="1">
      <c r="A305" s="33"/>
      <c r="B305" s="33"/>
      <c r="C305" s="33"/>
      <c r="D305" s="33"/>
      <c r="E305" s="33"/>
      <c r="F305" s="110"/>
      <c r="G305" s="33"/>
      <c r="H305" s="33"/>
      <c r="I305" s="33"/>
      <c r="J305" s="33"/>
      <c r="K305" s="33"/>
      <c r="L305" s="33"/>
      <c r="M305" s="33"/>
      <c r="N305" s="33"/>
      <c r="O305" s="108"/>
      <c r="P305" s="114"/>
      <c r="Q305" s="114"/>
      <c r="R305" s="118"/>
      <c r="S305" s="33"/>
      <c r="T305" s="33"/>
      <c r="U305" s="33"/>
      <c r="V305" s="33"/>
    </row>
    <row r="306" spans="1:22" ht="21" hidden="1" customHeight="1">
      <c r="A306" s="33"/>
      <c r="B306" s="33"/>
      <c r="C306" s="33"/>
      <c r="D306" s="33"/>
      <c r="E306" s="33"/>
      <c r="F306" s="110"/>
      <c r="G306" s="33"/>
      <c r="H306" s="33"/>
      <c r="I306" s="33"/>
      <c r="J306" s="33"/>
      <c r="K306" s="33"/>
      <c r="L306" s="33"/>
      <c r="M306" s="33"/>
      <c r="N306" s="33"/>
      <c r="O306" s="108"/>
      <c r="P306" s="114"/>
      <c r="Q306" s="114"/>
      <c r="R306" s="118"/>
      <c r="S306" s="33"/>
      <c r="T306" s="33"/>
      <c r="U306" s="33"/>
      <c r="V306" s="33"/>
    </row>
    <row r="307" spans="1:22" ht="21" hidden="1" customHeight="1">
      <c r="A307" s="33"/>
      <c r="B307" s="33"/>
      <c r="C307" s="33"/>
      <c r="D307" s="33"/>
      <c r="E307" s="33"/>
      <c r="F307" s="110"/>
      <c r="G307" s="33"/>
      <c r="H307" s="33"/>
      <c r="I307" s="33"/>
      <c r="J307" s="33"/>
      <c r="K307" s="33"/>
      <c r="L307" s="33"/>
      <c r="M307" s="33"/>
      <c r="N307" s="33"/>
      <c r="O307" s="108"/>
      <c r="P307" s="114"/>
      <c r="Q307" s="114"/>
      <c r="R307" s="118"/>
      <c r="S307" s="33"/>
      <c r="T307" s="33"/>
      <c r="U307" s="33"/>
      <c r="V307" s="33"/>
    </row>
    <row r="308" spans="1:22" ht="21" hidden="1" customHeight="1">
      <c r="A308" s="33"/>
      <c r="B308" s="33"/>
      <c r="C308" s="33"/>
      <c r="D308" s="33"/>
      <c r="E308" s="33"/>
      <c r="F308" s="110"/>
      <c r="G308" s="33"/>
      <c r="H308" s="33"/>
      <c r="I308" s="33"/>
      <c r="J308" s="33"/>
      <c r="K308" s="33"/>
      <c r="L308" s="33"/>
      <c r="M308" s="33"/>
      <c r="N308" s="33"/>
      <c r="O308" s="108"/>
      <c r="P308" s="114"/>
      <c r="Q308" s="114"/>
      <c r="R308" s="118"/>
      <c r="S308" s="33"/>
      <c r="T308" s="33"/>
      <c r="U308" s="33"/>
      <c r="V308" s="33"/>
    </row>
    <row r="309" spans="1:22" ht="21" hidden="1" customHeight="1">
      <c r="A309" s="33"/>
      <c r="B309" s="33"/>
      <c r="C309" s="33"/>
      <c r="D309" s="33"/>
      <c r="E309" s="33"/>
      <c r="F309" s="110"/>
      <c r="G309" s="33"/>
      <c r="H309" s="33"/>
      <c r="I309" s="33"/>
      <c r="J309" s="33"/>
      <c r="K309" s="33"/>
      <c r="L309" s="33"/>
      <c r="M309" s="33"/>
      <c r="N309" s="33"/>
      <c r="O309" s="108"/>
      <c r="P309" s="114"/>
      <c r="Q309" s="114"/>
      <c r="R309" s="118"/>
      <c r="S309" s="33"/>
      <c r="T309" s="33"/>
      <c r="U309" s="33"/>
      <c r="V309" s="33"/>
    </row>
    <row r="310" spans="1:22" ht="21" hidden="1" customHeight="1">
      <c r="A310" s="33"/>
      <c r="B310" s="33"/>
      <c r="C310" s="33"/>
      <c r="D310" s="33"/>
      <c r="E310" s="33"/>
      <c r="F310" s="110"/>
      <c r="G310" s="33"/>
      <c r="H310" s="33"/>
      <c r="I310" s="33"/>
      <c r="J310" s="33"/>
      <c r="K310" s="33"/>
      <c r="L310" s="33"/>
      <c r="M310" s="33"/>
      <c r="N310" s="33"/>
      <c r="O310" s="108"/>
      <c r="P310" s="114"/>
      <c r="Q310" s="114"/>
      <c r="R310" s="118"/>
      <c r="S310" s="33"/>
      <c r="T310" s="33"/>
      <c r="U310" s="33"/>
      <c r="V310" s="33"/>
    </row>
    <row r="311" spans="1:22" ht="21" hidden="1" customHeight="1">
      <c r="A311" s="33"/>
      <c r="B311" s="33"/>
      <c r="C311" s="33"/>
      <c r="D311" s="33"/>
      <c r="E311" s="33"/>
      <c r="F311" s="110"/>
      <c r="G311" s="33"/>
      <c r="H311" s="33"/>
      <c r="I311" s="33"/>
      <c r="J311" s="33"/>
      <c r="K311" s="33"/>
      <c r="L311" s="33"/>
      <c r="M311" s="33"/>
      <c r="N311" s="33"/>
      <c r="O311" s="108"/>
      <c r="P311" s="114"/>
      <c r="Q311" s="114"/>
      <c r="R311" s="118"/>
      <c r="S311" s="33"/>
      <c r="T311" s="33"/>
      <c r="U311" s="33"/>
      <c r="V311" s="33"/>
    </row>
    <row r="312" spans="1:22" ht="21" hidden="1" customHeight="1">
      <c r="A312" s="33"/>
      <c r="B312" s="33"/>
      <c r="C312" s="33"/>
      <c r="D312" s="33"/>
      <c r="E312" s="33"/>
      <c r="F312" s="110"/>
      <c r="G312" s="33"/>
      <c r="H312" s="33"/>
      <c r="I312" s="33"/>
      <c r="J312" s="33"/>
      <c r="K312" s="33"/>
      <c r="L312" s="33"/>
      <c r="M312" s="33"/>
      <c r="N312" s="33"/>
      <c r="O312" s="108"/>
      <c r="P312" s="114"/>
      <c r="Q312" s="114"/>
      <c r="R312" s="118"/>
      <c r="S312" s="33"/>
      <c r="T312" s="33"/>
      <c r="U312" s="33"/>
      <c r="V312" s="33"/>
    </row>
    <row r="313" spans="1:22" ht="21" hidden="1" customHeight="1">
      <c r="A313" s="33"/>
      <c r="B313" s="33"/>
      <c r="C313" s="33"/>
      <c r="D313" s="33"/>
      <c r="E313" s="33"/>
      <c r="F313" s="110"/>
      <c r="G313" s="33"/>
      <c r="H313" s="33"/>
      <c r="I313" s="33"/>
      <c r="J313" s="33"/>
      <c r="K313" s="33"/>
      <c r="L313" s="33"/>
      <c r="M313" s="33"/>
      <c r="N313" s="33"/>
      <c r="O313" s="108"/>
      <c r="P313" s="114"/>
      <c r="Q313" s="114"/>
      <c r="R313" s="118"/>
      <c r="S313" s="33"/>
      <c r="T313" s="33"/>
      <c r="U313" s="33"/>
      <c r="V313" s="33"/>
    </row>
    <row r="314" spans="1:22" ht="21" hidden="1" customHeight="1">
      <c r="A314" s="33"/>
      <c r="B314" s="33"/>
      <c r="C314" s="33"/>
      <c r="D314" s="33"/>
      <c r="E314" s="33"/>
      <c r="F314" s="110"/>
      <c r="G314" s="33"/>
      <c r="H314" s="33"/>
      <c r="I314" s="33"/>
      <c r="J314" s="33"/>
      <c r="K314" s="33"/>
      <c r="L314" s="33"/>
      <c r="M314" s="33"/>
      <c r="N314" s="33"/>
      <c r="O314" s="108"/>
      <c r="P314" s="114"/>
      <c r="Q314" s="114"/>
      <c r="R314" s="118"/>
      <c r="S314" s="33"/>
      <c r="T314" s="33"/>
      <c r="U314" s="33"/>
      <c r="V314" s="33"/>
    </row>
    <row r="315" spans="1:22" ht="21" hidden="1" customHeight="1">
      <c r="A315" s="33"/>
      <c r="B315" s="33"/>
      <c r="C315" s="33"/>
      <c r="D315" s="33"/>
      <c r="E315" s="33"/>
      <c r="F315" s="110"/>
      <c r="G315" s="33"/>
      <c r="H315" s="33"/>
      <c r="I315" s="33"/>
      <c r="J315" s="33"/>
      <c r="K315" s="33"/>
      <c r="L315" s="33"/>
      <c r="M315" s="33"/>
      <c r="N315" s="33"/>
      <c r="O315" s="108"/>
      <c r="P315" s="114"/>
      <c r="Q315" s="114"/>
      <c r="R315" s="118"/>
      <c r="S315" s="33"/>
      <c r="T315" s="33"/>
      <c r="U315" s="33"/>
      <c r="V315" s="33"/>
    </row>
    <row r="316" spans="1:22" ht="21" hidden="1" customHeight="1">
      <c r="A316" s="33"/>
      <c r="B316" s="33"/>
      <c r="C316" s="33"/>
      <c r="D316" s="33"/>
      <c r="E316" s="33"/>
      <c r="F316" s="110"/>
      <c r="G316" s="33"/>
      <c r="H316" s="33"/>
      <c r="I316" s="33"/>
      <c r="J316" s="33"/>
      <c r="K316" s="33"/>
      <c r="L316" s="33"/>
      <c r="M316" s="33"/>
      <c r="N316" s="33"/>
      <c r="O316" s="108"/>
      <c r="P316" s="114"/>
      <c r="Q316" s="114"/>
      <c r="R316" s="118"/>
      <c r="S316" s="33"/>
      <c r="T316" s="33"/>
      <c r="U316" s="33"/>
      <c r="V316" s="33"/>
    </row>
    <row r="317" spans="1:22" ht="21" hidden="1" customHeight="1">
      <c r="A317" s="33"/>
      <c r="B317" s="33"/>
      <c r="C317" s="33"/>
      <c r="D317" s="33"/>
      <c r="E317" s="33"/>
      <c r="F317" s="110"/>
      <c r="G317" s="33"/>
      <c r="H317" s="33"/>
      <c r="I317" s="33"/>
      <c r="J317" s="33"/>
      <c r="K317" s="33"/>
      <c r="L317" s="33"/>
      <c r="M317" s="33"/>
      <c r="N317" s="33"/>
      <c r="O317" s="108"/>
      <c r="P317" s="114"/>
      <c r="Q317" s="114"/>
      <c r="R317" s="118"/>
      <c r="S317" s="33"/>
      <c r="T317" s="33"/>
      <c r="U317" s="33"/>
      <c r="V317" s="33"/>
    </row>
    <row r="318" spans="1:22" ht="21" hidden="1" customHeight="1">
      <c r="A318" s="33"/>
      <c r="B318" s="33"/>
      <c r="C318" s="33"/>
      <c r="D318" s="33"/>
      <c r="E318" s="33"/>
      <c r="F318" s="110"/>
      <c r="G318" s="33"/>
      <c r="H318" s="33"/>
      <c r="I318" s="33"/>
      <c r="J318" s="33"/>
      <c r="K318" s="33"/>
      <c r="L318" s="33"/>
      <c r="M318" s="33"/>
      <c r="N318" s="33"/>
      <c r="O318" s="108"/>
      <c r="P318" s="114"/>
      <c r="Q318" s="114"/>
      <c r="R318" s="118"/>
      <c r="S318" s="33"/>
      <c r="T318" s="33"/>
      <c r="U318" s="33"/>
      <c r="V318" s="33"/>
    </row>
    <row r="319" spans="1:22" ht="21" hidden="1" customHeight="1">
      <c r="A319" s="33"/>
      <c r="B319" s="33"/>
      <c r="C319" s="33"/>
      <c r="D319" s="33"/>
      <c r="E319" s="33"/>
      <c r="F319" s="110"/>
      <c r="G319" s="33"/>
      <c r="H319" s="33"/>
      <c r="I319" s="33"/>
      <c r="J319" s="33"/>
      <c r="K319" s="33"/>
      <c r="L319" s="33"/>
      <c r="M319" s="33"/>
      <c r="N319" s="33"/>
      <c r="O319" s="108"/>
      <c r="P319" s="114"/>
      <c r="Q319" s="114"/>
      <c r="R319" s="118"/>
      <c r="S319" s="33"/>
      <c r="T319" s="33"/>
      <c r="U319" s="33"/>
      <c r="V319" s="33"/>
    </row>
    <row r="320" spans="1:22" ht="21" hidden="1" customHeight="1">
      <c r="A320" s="33"/>
      <c r="B320" s="33"/>
      <c r="C320" s="33"/>
      <c r="D320" s="33"/>
      <c r="E320" s="33"/>
      <c r="F320" s="110"/>
      <c r="G320" s="33"/>
      <c r="H320" s="33"/>
      <c r="I320" s="33"/>
      <c r="J320" s="33"/>
      <c r="K320" s="33"/>
      <c r="L320" s="33"/>
      <c r="M320" s="33"/>
      <c r="N320" s="33"/>
      <c r="O320" s="108"/>
      <c r="P320" s="114"/>
      <c r="Q320" s="114"/>
      <c r="R320" s="118"/>
      <c r="S320" s="33"/>
      <c r="T320" s="33"/>
      <c r="U320" s="33"/>
      <c r="V320" s="33"/>
    </row>
    <row r="321" spans="1:22" ht="21" hidden="1" customHeight="1">
      <c r="A321" s="33"/>
      <c r="B321" s="33"/>
      <c r="C321" s="33"/>
      <c r="D321" s="33"/>
      <c r="E321" s="33"/>
      <c r="F321" s="110"/>
      <c r="G321" s="33"/>
      <c r="H321" s="33"/>
      <c r="I321" s="33"/>
      <c r="J321" s="33"/>
      <c r="K321" s="33"/>
      <c r="L321" s="33"/>
      <c r="M321" s="33"/>
      <c r="N321" s="33"/>
      <c r="O321" s="108"/>
      <c r="P321" s="114"/>
      <c r="Q321" s="114"/>
      <c r="R321" s="118"/>
      <c r="S321" s="33"/>
      <c r="T321" s="33"/>
      <c r="U321" s="33"/>
      <c r="V321" s="33"/>
    </row>
    <row r="322" spans="1:22" ht="21" hidden="1" customHeight="1">
      <c r="A322" s="33"/>
      <c r="B322" s="33"/>
      <c r="C322" s="33"/>
      <c r="D322" s="33"/>
      <c r="E322" s="33"/>
      <c r="F322" s="110"/>
      <c r="G322" s="33"/>
      <c r="H322" s="33"/>
      <c r="I322" s="33"/>
      <c r="J322" s="33"/>
      <c r="K322" s="33"/>
      <c r="L322" s="33"/>
      <c r="M322" s="33"/>
      <c r="N322" s="33"/>
      <c r="O322" s="108"/>
      <c r="P322" s="114"/>
      <c r="Q322" s="114"/>
      <c r="R322" s="118"/>
      <c r="S322" s="33"/>
      <c r="T322" s="33"/>
      <c r="U322" s="33"/>
      <c r="V322" s="33"/>
    </row>
    <row r="323" spans="1:22" ht="21" hidden="1" customHeight="1"/>
    <row r="324" spans="1:22" ht="21" hidden="1" customHeight="1"/>
    <row r="325" spans="1:22" ht="21" hidden="1" customHeight="1"/>
    <row r="326" spans="1:22" ht="21" hidden="1" customHeight="1"/>
    <row r="327" spans="1:22" ht="21" hidden="1" customHeight="1"/>
    <row r="328" spans="1:22" ht="21" hidden="1" customHeight="1"/>
    <row r="329" spans="1:22" ht="21" hidden="1" customHeight="1"/>
    <row r="330" spans="1:22" ht="21" hidden="1" customHeight="1"/>
    <row r="331" spans="1:22" ht="21" hidden="1" customHeight="1"/>
    <row r="332" spans="1:22" ht="21" hidden="1" customHeight="1"/>
    <row r="333" spans="1:22" ht="21" hidden="1" customHeight="1"/>
    <row r="334" spans="1:22" ht="21" hidden="1" customHeight="1"/>
    <row r="335" spans="1:22" ht="21" hidden="1" customHeight="1"/>
    <row r="336" spans="1:22" ht="21" hidden="1" customHeight="1"/>
    <row r="337" ht="21" hidden="1" customHeight="1"/>
    <row r="338" ht="21" hidden="1" customHeight="1"/>
    <row r="339" ht="21" hidden="1" customHeight="1"/>
    <row r="340" ht="21" hidden="1" customHeight="1"/>
    <row r="341" ht="21" hidden="1" customHeight="1"/>
    <row r="342" ht="21" hidden="1" customHeight="1"/>
    <row r="343" ht="21" hidden="1" customHeight="1"/>
    <row r="344" ht="21" hidden="1" customHeight="1"/>
    <row r="345" ht="21" hidden="1" customHeight="1"/>
    <row r="346" ht="21" hidden="1" customHeight="1"/>
    <row r="347" ht="21" hidden="1" customHeight="1"/>
    <row r="348" ht="21" hidden="1" customHeight="1"/>
    <row r="349" ht="21" hidden="1" customHeight="1"/>
    <row r="350" ht="21" hidden="1" customHeight="1"/>
    <row r="351" ht="21" hidden="1" customHeight="1"/>
    <row r="352" ht="21" hidden="1" customHeight="1"/>
    <row r="353" ht="21" hidden="1" customHeight="1"/>
    <row r="354" ht="21" hidden="1" customHeight="1"/>
    <row r="355" ht="21" hidden="1" customHeight="1"/>
    <row r="356" ht="21" hidden="1" customHeight="1"/>
    <row r="357" ht="21" hidden="1" customHeight="1"/>
    <row r="358" ht="21" hidden="1" customHeight="1"/>
    <row r="359" ht="21" hidden="1" customHeight="1"/>
    <row r="360" ht="21" hidden="1" customHeight="1"/>
    <row r="361" ht="21" hidden="1" customHeight="1"/>
    <row r="362" ht="21" hidden="1" customHeight="1"/>
    <row r="363" ht="21" hidden="1" customHeight="1"/>
    <row r="364" ht="21" hidden="1" customHeight="1"/>
    <row r="365" ht="21" hidden="1" customHeight="1"/>
    <row r="366" ht="21" hidden="1" customHeight="1"/>
    <row r="367" ht="21" hidden="1" customHeight="1"/>
    <row r="368" ht="21" hidden="1" customHeight="1"/>
    <row r="369" ht="21" hidden="1" customHeight="1"/>
    <row r="370" ht="21" hidden="1" customHeight="1"/>
    <row r="371" ht="21" hidden="1" customHeight="1"/>
    <row r="372" ht="21" hidden="1" customHeight="1"/>
    <row r="373" ht="21" hidden="1" customHeight="1"/>
    <row r="374" ht="21" hidden="1" customHeight="1"/>
    <row r="375" ht="21" hidden="1" customHeight="1"/>
    <row r="376" ht="21" hidden="1" customHeight="1"/>
    <row r="377" ht="21" hidden="1" customHeight="1"/>
    <row r="378" ht="21" hidden="1" customHeight="1"/>
    <row r="379" ht="21" hidden="1" customHeight="1"/>
    <row r="380" ht="21" hidden="1" customHeight="1"/>
    <row r="381" ht="21" hidden="1" customHeight="1"/>
    <row r="382" ht="21" hidden="1" customHeight="1"/>
    <row r="383" ht="21" hidden="1" customHeight="1"/>
    <row r="384" ht="21" hidden="1" customHeight="1"/>
    <row r="385" ht="21" hidden="1" customHeight="1"/>
    <row r="386" ht="21" hidden="1" customHeight="1"/>
    <row r="387" ht="21" hidden="1" customHeight="1"/>
    <row r="388" ht="21" hidden="1" customHeight="1"/>
    <row r="389" ht="21" hidden="1" customHeight="1"/>
    <row r="390" ht="21" hidden="1" customHeight="1"/>
    <row r="391" ht="21" hidden="1" customHeight="1"/>
    <row r="392" ht="21" hidden="1" customHeight="1"/>
    <row r="393" ht="21" hidden="1" customHeight="1"/>
    <row r="394" ht="21" hidden="1" customHeight="1"/>
    <row r="395" ht="21" hidden="1" customHeight="1"/>
    <row r="396" ht="21" hidden="1" customHeight="1"/>
    <row r="397" ht="21" hidden="1" customHeight="1"/>
    <row r="398" ht="21" hidden="1" customHeight="1"/>
    <row r="399" ht="21" hidden="1" customHeight="1"/>
    <row r="400" ht="21" hidden="1" customHeight="1"/>
    <row r="401" ht="21" hidden="1" customHeight="1"/>
    <row r="402" ht="21" hidden="1" customHeight="1"/>
    <row r="403" ht="21" hidden="1" customHeight="1"/>
    <row r="404" ht="21" hidden="1" customHeight="1"/>
    <row r="405" ht="21" hidden="1" customHeight="1"/>
    <row r="406" ht="21" hidden="1" customHeight="1"/>
    <row r="407" ht="21" hidden="1" customHeight="1"/>
    <row r="408" ht="21" hidden="1" customHeight="1"/>
    <row r="409" ht="21" hidden="1" customHeight="1"/>
    <row r="410" ht="21" hidden="1" customHeight="1"/>
    <row r="411" ht="21" hidden="1" customHeight="1"/>
    <row r="412" ht="21" hidden="1" customHeight="1"/>
    <row r="413" ht="21" hidden="1" customHeight="1"/>
    <row r="414" ht="21" hidden="1" customHeight="1"/>
    <row r="415" ht="21" hidden="1" customHeight="1"/>
    <row r="416" ht="21" hidden="1" customHeight="1"/>
    <row r="417" ht="21" hidden="1" customHeight="1"/>
    <row r="418" ht="21" hidden="1" customHeight="1"/>
    <row r="419" ht="21" hidden="1" customHeight="1"/>
    <row r="420" ht="21" hidden="1" customHeight="1"/>
    <row r="421" ht="21" hidden="1" customHeight="1"/>
    <row r="422" ht="21" hidden="1" customHeight="1"/>
    <row r="423" ht="21" hidden="1" customHeight="1"/>
    <row r="424" ht="21" hidden="1" customHeight="1"/>
    <row r="425" ht="21" hidden="1" customHeight="1"/>
    <row r="426" ht="21" hidden="1" customHeight="1"/>
    <row r="427" ht="21" hidden="1" customHeight="1"/>
    <row r="428" ht="21" hidden="1" customHeight="1"/>
    <row r="429" ht="21" hidden="1" customHeight="1"/>
    <row r="430" ht="21" hidden="1" customHeight="1"/>
    <row r="431" ht="21" hidden="1" customHeight="1"/>
    <row r="432" ht="21" hidden="1" customHeight="1"/>
    <row r="433" ht="21" hidden="1" customHeight="1"/>
    <row r="434" ht="21" hidden="1" customHeight="1"/>
    <row r="435" ht="21" hidden="1" customHeight="1"/>
    <row r="436" ht="21" hidden="1" customHeight="1"/>
    <row r="437" ht="21" hidden="1" customHeight="1"/>
    <row r="438" ht="21" hidden="1" customHeight="1"/>
    <row r="439" ht="21" hidden="1" customHeight="1"/>
    <row r="440" ht="21" hidden="1" customHeight="1"/>
    <row r="441" ht="21" hidden="1" customHeight="1"/>
    <row r="442" ht="21" hidden="1" customHeight="1"/>
    <row r="443" ht="21" hidden="1" customHeight="1"/>
    <row r="444" ht="21" hidden="1" customHeight="1"/>
    <row r="445" ht="21" hidden="1" customHeight="1"/>
    <row r="446" ht="21" hidden="1" customHeight="1"/>
    <row r="447" ht="21" hidden="1" customHeight="1"/>
    <row r="448" ht="21" hidden="1" customHeight="1"/>
    <row r="449" ht="21" hidden="1" customHeight="1"/>
    <row r="450" ht="21" hidden="1" customHeight="1"/>
    <row r="451" ht="21" hidden="1" customHeight="1"/>
    <row r="452" ht="21" hidden="1" customHeight="1"/>
    <row r="453" ht="21" hidden="1" customHeight="1"/>
    <row r="454" ht="21" hidden="1" customHeight="1"/>
    <row r="455" ht="21" hidden="1" customHeight="1"/>
    <row r="456" ht="21" hidden="1" customHeight="1"/>
    <row r="457" ht="21" hidden="1" customHeight="1"/>
    <row r="458" ht="21" hidden="1" customHeight="1"/>
    <row r="459" ht="21" hidden="1" customHeight="1"/>
    <row r="460" ht="21" hidden="1" customHeight="1"/>
    <row r="461" ht="21" hidden="1" customHeight="1"/>
    <row r="462" ht="21" hidden="1" customHeight="1"/>
    <row r="463" ht="21" hidden="1" customHeight="1"/>
    <row r="464" ht="21" hidden="1" customHeight="1"/>
    <row r="465" ht="21" hidden="1" customHeight="1"/>
    <row r="466" ht="21" hidden="1" customHeight="1"/>
    <row r="467" ht="21" hidden="1" customHeight="1"/>
    <row r="468" ht="21" hidden="1" customHeight="1"/>
    <row r="469" ht="21" hidden="1" customHeight="1"/>
    <row r="470" ht="21" hidden="1" customHeight="1"/>
    <row r="471" ht="21" hidden="1" customHeight="1"/>
    <row r="472" ht="21" hidden="1" customHeight="1"/>
    <row r="473" ht="21" hidden="1" customHeight="1"/>
    <row r="474" ht="21" hidden="1" customHeight="1"/>
    <row r="475" ht="21" hidden="1" customHeight="1"/>
    <row r="476" ht="21" hidden="1" customHeight="1"/>
    <row r="477" ht="21" hidden="1" customHeight="1"/>
    <row r="478" ht="21" hidden="1" customHeight="1"/>
    <row r="479" ht="21" hidden="1" customHeight="1"/>
    <row r="480" ht="21" hidden="1" customHeight="1"/>
    <row r="481" ht="21" hidden="1" customHeight="1"/>
    <row r="482" ht="21" hidden="1" customHeight="1"/>
    <row r="483" ht="21" hidden="1" customHeight="1"/>
    <row r="484" ht="21" hidden="1" customHeight="1"/>
    <row r="485" ht="21" hidden="1" customHeight="1"/>
    <row r="486" ht="21" hidden="1" customHeight="1"/>
    <row r="487" ht="21" hidden="1" customHeight="1"/>
    <row r="488" ht="21" hidden="1" customHeight="1"/>
    <row r="489" ht="21" hidden="1" customHeight="1"/>
    <row r="490" ht="21" hidden="1" customHeight="1"/>
    <row r="491" ht="21" hidden="1" customHeight="1"/>
    <row r="492" ht="21" hidden="1" customHeight="1"/>
    <row r="493" ht="21" hidden="1" customHeight="1"/>
    <row r="494" ht="21" hidden="1" customHeight="1"/>
    <row r="495" ht="21" hidden="1" customHeight="1"/>
    <row r="496" ht="21" hidden="1" customHeight="1"/>
    <row r="497" ht="21" hidden="1" customHeight="1"/>
    <row r="498" ht="21" hidden="1" customHeight="1"/>
    <row r="499" ht="21" hidden="1" customHeight="1"/>
    <row r="500" ht="21" hidden="1" customHeight="1"/>
    <row r="501" ht="21" hidden="1" customHeight="1"/>
    <row r="502" ht="21" hidden="1" customHeight="1"/>
    <row r="503" ht="21" hidden="1" customHeight="1"/>
    <row r="504" ht="21" hidden="1" customHeight="1"/>
    <row r="505" ht="21" hidden="1" customHeight="1"/>
    <row r="506" ht="21" hidden="1" customHeight="1"/>
    <row r="507" ht="21" hidden="1" customHeight="1"/>
    <row r="508" ht="21" hidden="1" customHeight="1"/>
    <row r="509" ht="21" hidden="1" customHeight="1"/>
    <row r="510" ht="21" hidden="1" customHeight="1"/>
    <row r="511" ht="21" hidden="1" customHeight="1"/>
    <row r="512" ht="21" hidden="1" customHeight="1"/>
    <row r="513" ht="21" hidden="1" customHeight="1"/>
    <row r="514" ht="21" hidden="1" customHeight="1"/>
    <row r="515" ht="21" hidden="1" customHeight="1"/>
    <row r="516" ht="21" hidden="1" customHeight="1"/>
    <row r="517" ht="21" hidden="1" customHeight="1"/>
    <row r="518" ht="21" hidden="1" customHeight="1"/>
    <row r="519" ht="21" hidden="1" customHeight="1"/>
    <row r="520" ht="21" hidden="1" customHeight="1"/>
    <row r="521" ht="21" hidden="1" customHeight="1"/>
    <row r="522" ht="21" hidden="1" customHeight="1"/>
    <row r="523" ht="21" hidden="1" customHeight="1"/>
    <row r="524" ht="21" hidden="1" customHeight="1"/>
    <row r="525" ht="21" hidden="1" customHeight="1"/>
    <row r="526" ht="21" hidden="1" customHeight="1"/>
    <row r="527" ht="21" hidden="1" customHeight="1"/>
    <row r="528" ht="21" hidden="1" customHeight="1"/>
    <row r="529" ht="21" hidden="1" customHeight="1"/>
    <row r="530" ht="21" hidden="1" customHeight="1"/>
    <row r="531" ht="21" hidden="1" customHeight="1"/>
    <row r="532" ht="21" hidden="1" customHeight="1"/>
    <row r="533" ht="21" hidden="1" customHeight="1"/>
    <row r="534" ht="21" hidden="1" customHeight="1"/>
    <row r="535" ht="21" hidden="1" customHeight="1"/>
    <row r="536" ht="21" hidden="1" customHeight="1"/>
    <row r="537" ht="21" hidden="1" customHeight="1"/>
    <row r="538" ht="21" hidden="1" customHeight="1"/>
    <row r="539" ht="21" hidden="1" customHeight="1"/>
    <row r="540" ht="21" hidden="1" customHeight="1"/>
    <row r="541" ht="21" hidden="1" customHeight="1"/>
    <row r="542" ht="21" hidden="1" customHeight="1"/>
    <row r="543" ht="21" hidden="1" customHeight="1"/>
    <row r="544" ht="21" hidden="1" customHeight="1"/>
    <row r="545" ht="21" hidden="1" customHeight="1"/>
    <row r="546" ht="21" hidden="1" customHeight="1"/>
    <row r="547" ht="21" hidden="1" customHeight="1"/>
    <row r="548" ht="21" hidden="1" customHeight="1"/>
    <row r="549" ht="21" hidden="1" customHeight="1"/>
    <row r="550" ht="21" hidden="1" customHeight="1"/>
    <row r="551" ht="21" hidden="1" customHeight="1"/>
    <row r="552" ht="21" hidden="1" customHeight="1"/>
    <row r="553" ht="21" hidden="1" customHeight="1"/>
    <row r="554" ht="21" hidden="1" customHeight="1"/>
    <row r="555" ht="21" hidden="1" customHeight="1"/>
    <row r="556" ht="21" hidden="1" customHeight="1"/>
    <row r="557" ht="21" hidden="1" customHeight="1"/>
    <row r="558" ht="21" hidden="1" customHeight="1"/>
    <row r="559" ht="21" hidden="1" customHeight="1"/>
    <row r="560" ht="21" hidden="1" customHeight="1"/>
    <row r="561" ht="21" hidden="1" customHeight="1"/>
    <row r="562" ht="21" hidden="1" customHeight="1"/>
    <row r="563" ht="21" hidden="1" customHeight="1"/>
    <row r="564" ht="21" hidden="1" customHeight="1"/>
    <row r="565" ht="21" hidden="1" customHeight="1"/>
    <row r="566" ht="21" hidden="1" customHeight="1"/>
    <row r="567" ht="21" hidden="1" customHeight="1"/>
    <row r="568" ht="21" hidden="1" customHeight="1"/>
    <row r="569" ht="21" hidden="1" customHeight="1"/>
    <row r="570" ht="21" hidden="1" customHeight="1"/>
    <row r="571" ht="21" hidden="1" customHeight="1"/>
    <row r="572" ht="21" hidden="1" customHeight="1"/>
    <row r="573" ht="21" hidden="1" customHeight="1"/>
    <row r="574" ht="21" hidden="1" customHeight="1"/>
    <row r="575" ht="21" hidden="1" customHeight="1"/>
    <row r="576" ht="21" hidden="1" customHeight="1"/>
    <row r="577" ht="21" hidden="1" customHeight="1"/>
    <row r="578" ht="21" hidden="1" customHeight="1"/>
    <row r="579" ht="21" hidden="1" customHeight="1"/>
    <row r="580" ht="21" hidden="1" customHeight="1"/>
    <row r="581" ht="21" hidden="1" customHeight="1"/>
    <row r="582" ht="21" hidden="1" customHeight="1"/>
    <row r="583" ht="21" hidden="1" customHeight="1"/>
    <row r="584" ht="21" hidden="1" customHeight="1"/>
    <row r="585" ht="21" hidden="1" customHeight="1"/>
    <row r="586" ht="21" hidden="1" customHeight="1"/>
    <row r="587" ht="21" hidden="1" customHeight="1"/>
    <row r="588" ht="21" hidden="1" customHeight="1"/>
    <row r="589" ht="21" hidden="1" customHeight="1"/>
    <row r="590" ht="21" hidden="1" customHeight="1"/>
    <row r="591" ht="21" hidden="1" customHeight="1"/>
    <row r="592" ht="21" hidden="1" customHeight="1"/>
    <row r="593" ht="21" hidden="1" customHeight="1"/>
    <row r="594" ht="21" hidden="1" customHeight="1"/>
    <row r="595" ht="21" hidden="1" customHeight="1"/>
    <row r="596" ht="21" hidden="1" customHeight="1"/>
    <row r="597" ht="21" hidden="1" customHeight="1"/>
    <row r="598" ht="21" hidden="1" customHeight="1"/>
    <row r="599" ht="21" hidden="1" customHeight="1"/>
    <row r="600" ht="21" hidden="1" customHeight="1"/>
    <row r="601" ht="21" hidden="1" customHeight="1"/>
    <row r="602" ht="21" hidden="1" customHeight="1"/>
    <row r="603" ht="21" hidden="1" customHeight="1"/>
    <row r="604" ht="21" hidden="1" customHeight="1"/>
    <row r="605" ht="21" hidden="1" customHeight="1"/>
    <row r="606" ht="21" hidden="1" customHeight="1"/>
    <row r="607" ht="21" hidden="1" customHeight="1"/>
    <row r="608" ht="21" hidden="1" customHeight="1"/>
    <row r="609" ht="21" hidden="1" customHeight="1"/>
    <row r="610" ht="21" hidden="1" customHeight="1"/>
    <row r="611" ht="21" hidden="1" customHeight="1"/>
    <row r="612" ht="21" hidden="1" customHeight="1"/>
    <row r="613" ht="21" hidden="1" customHeight="1"/>
    <row r="614" ht="21" hidden="1" customHeight="1"/>
    <row r="615" ht="21" hidden="1" customHeight="1"/>
    <row r="616" ht="21" hidden="1" customHeight="1"/>
    <row r="617" ht="21" hidden="1" customHeight="1"/>
    <row r="618" ht="21" hidden="1" customHeight="1"/>
    <row r="619" ht="21" hidden="1" customHeight="1"/>
    <row r="620" ht="21" hidden="1" customHeight="1"/>
    <row r="621" ht="21" hidden="1" customHeight="1"/>
    <row r="622" ht="21" hidden="1" customHeight="1"/>
    <row r="623" ht="21" hidden="1" customHeight="1"/>
    <row r="624" ht="21" hidden="1" customHeight="1"/>
    <row r="625" ht="21" hidden="1" customHeight="1"/>
    <row r="626" ht="21" hidden="1" customHeight="1"/>
    <row r="627" ht="21" hidden="1" customHeight="1"/>
    <row r="628" ht="21" hidden="1" customHeight="1"/>
    <row r="629" ht="21" hidden="1" customHeight="1"/>
    <row r="630" ht="21" hidden="1" customHeight="1"/>
    <row r="631" ht="21" hidden="1" customHeight="1"/>
    <row r="632" ht="21" hidden="1" customHeight="1"/>
    <row r="633" ht="21" hidden="1" customHeight="1"/>
    <row r="634" ht="21" hidden="1" customHeight="1"/>
    <row r="635" ht="21" hidden="1" customHeight="1"/>
    <row r="636" ht="21" hidden="1" customHeight="1"/>
    <row r="637" ht="21" hidden="1" customHeight="1"/>
    <row r="638" ht="21" hidden="1" customHeight="1"/>
    <row r="639" ht="21" hidden="1" customHeight="1"/>
    <row r="640" ht="21" hidden="1" customHeight="1"/>
    <row r="641" ht="21" hidden="1" customHeight="1"/>
    <row r="642" ht="21" hidden="1" customHeight="1"/>
    <row r="643" ht="21" hidden="1" customHeight="1"/>
    <row r="644" ht="21" hidden="1" customHeight="1"/>
    <row r="645" ht="21" hidden="1" customHeight="1"/>
    <row r="646" ht="21" hidden="1" customHeight="1"/>
    <row r="647" ht="21" hidden="1" customHeight="1"/>
    <row r="648" ht="21" hidden="1" customHeight="1"/>
    <row r="649" ht="21" hidden="1" customHeight="1"/>
    <row r="650" ht="21" hidden="1" customHeight="1"/>
    <row r="651" ht="21" hidden="1" customHeight="1"/>
    <row r="652" ht="21" hidden="1" customHeight="1"/>
    <row r="653" ht="21" hidden="1" customHeight="1"/>
    <row r="654" ht="21" hidden="1" customHeight="1"/>
    <row r="655" ht="21" hidden="1" customHeight="1"/>
    <row r="656" ht="21" hidden="1" customHeight="1"/>
    <row r="657" ht="21" hidden="1" customHeight="1"/>
    <row r="658" ht="21" hidden="1" customHeight="1"/>
    <row r="659" ht="21" hidden="1" customHeight="1"/>
    <row r="660" ht="21" hidden="1" customHeight="1"/>
    <row r="661" ht="21" hidden="1" customHeight="1"/>
    <row r="662" ht="21" hidden="1" customHeight="1"/>
    <row r="663" ht="21" hidden="1" customHeight="1"/>
    <row r="664" ht="21" hidden="1" customHeight="1"/>
    <row r="665" ht="21" hidden="1" customHeight="1"/>
    <row r="666" ht="21" hidden="1" customHeight="1"/>
    <row r="667" ht="21" hidden="1" customHeight="1"/>
    <row r="668" ht="21" hidden="1" customHeight="1"/>
    <row r="669" ht="21" hidden="1" customHeight="1"/>
    <row r="670" ht="21" hidden="1" customHeight="1"/>
    <row r="671" ht="21" hidden="1" customHeight="1"/>
    <row r="672" ht="21" hidden="1" customHeight="1"/>
    <row r="673" ht="21" hidden="1" customHeight="1"/>
    <row r="674" ht="21" hidden="1" customHeight="1"/>
    <row r="675" ht="21" hidden="1" customHeight="1"/>
    <row r="676" ht="21" hidden="1" customHeight="1"/>
    <row r="677" ht="21" hidden="1" customHeight="1"/>
    <row r="678" ht="21" hidden="1" customHeight="1"/>
    <row r="679" ht="21" hidden="1" customHeight="1"/>
    <row r="680" ht="21" hidden="1" customHeight="1"/>
    <row r="681" ht="21" hidden="1" customHeight="1"/>
    <row r="682" ht="21" hidden="1" customHeight="1"/>
    <row r="683" ht="21" hidden="1" customHeight="1"/>
    <row r="684" ht="21" hidden="1" customHeight="1"/>
    <row r="685" ht="21" hidden="1" customHeight="1"/>
    <row r="686" ht="21" hidden="1" customHeight="1"/>
    <row r="687" ht="21" hidden="1" customHeight="1"/>
    <row r="688" ht="21" hidden="1" customHeight="1"/>
    <row r="689" ht="21" hidden="1" customHeight="1"/>
    <row r="690" ht="21" hidden="1" customHeight="1"/>
    <row r="691" ht="21" hidden="1" customHeight="1"/>
    <row r="692" ht="21" hidden="1" customHeight="1"/>
    <row r="693" ht="21" hidden="1" customHeight="1"/>
    <row r="694" ht="21" hidden="1" customHeight="1"/>
    <row r="695" ht="21" hidden="1" customHeight="1"/>
    <row r="696" ht="21" hidden="1" customHeight="1"/>
    <row r="697" ht="21" hidden="1" customHeight="1"/>
    <row r="698" ht="21" hidden="1" customHeight="1"/>
    <row r="699" ht="21" hidden="1" customHeight="1"/>
    <row r="700" ht="21" hidden="1" customHeight="1"/>
    <row r="701" ht="21" hidden="1" customHeight="1"/>
    <row r="702" ht="21" hidden="1" customHeight="1"/>
    <row r="703" ht="21" hidden="1" customHeight="1"/>
    <row r="704" ht="21" hidden="1" customHeight="1"/>
    <row r="705" ht="21" hidden="1" customHeight="1"/>
    <row r="706" ht="21" hidden="1" customHeight="1"/>
    <row r="707" ht="21" hidden="1" customHeight="1"/>
    <row r="708" ht="21" hidden="1" customHeight="1"/>
    <row r="709" ht="21" hidden="1" customHeight="1"/>
    <row r="710" ht="21" hidden="1" customHeight="1"/>
    <row r="711" ht="21" hidden="1" customHeight="1"/>
    <row r="712" ht="21" hidden="1" customHeight="1"/>
    <row r="713" ht="21" hidden="1" customHeight="1"/>
    <row r="714" ht="21" hidden="1" customHeight="1"/>
    <row r="715" ht="21" hidden="1" customHeight="1"/>
    <row r="716" ht="21" hidden="1" customHeight="1"/>
    <row r="717" ht="21" hidden="1" customHeight="1"/>
    <row r="718" ht="21" hidden="1" customHeight="1"/>
    <row r="719" ht="21" hidden="1" customHeight="1"/>
    <row r="720" ht="21" hidden="1" customHeight="1"/>
    <row r="721" ht="21" hidden="1" customHeight="1"/>
    <row r="722" ht="21" hidden="1" customHeight="1"/>
    <row r="723" ht="21" hidden="1" customHeight="1"/>
    <row r="724" ht="21" hidden="1" customHeight="1"/>
    <row r="725" ht="21" hidden="1" customHeight="1"/>
    <row r="726" ht="21" hidden="1" customHeight="1"/>
    <row r="727" ht="21" hidden="1" customHeight="1"/>
    <row r="728" ht="21" hidden="1" customHeight="1"/>
    <row r="729" ht="21" hidden="1" customHeight="1"/>
    <row r="730" ht="21" hidden="1" customHeight="1"/>
    <row r="731" ht="21" hidden="1" customHeight="1"/>
    <row r="732" ht="21" hidden="1" customHeight="1"/>
    <row r="733" ht="21" hidden="1" customHeight="1"/>
    <row r="734" ht="21" hidden="1" customHeight="1"/>
    <row r="735" ht="21" hidden="1" customHeight="1"/>
    <row r="736" ht="21" hidden="1" customHeight="1"/>
    <row r="737" ht="21" hidden="1" customHeight="1"/>
    <row r="738" ht="21" hidden="1" customHeight="1"/>
    <row r="739" ht="21" hidden="1" customHeight="1"/>
    <row r="740" ht="21" hidden="1" customHeight="1"/>
    <row r="741" ht="21" hidden="1" customHeight="1"/>
    <row r="742" ht="21" hidden="1" customHeight="1"/>
    <row r="743" ht="21" hidden="1" customHeight="1"/>
    <row r="744" ht="21" hidden="1" customHeight="1"/>
    <row r="745" ht="21" hidden="1" customHeight="1"/>
    <row r="746" ht="21" hidden="1" customHeight="1"/>
    <row r="747" ht="21" hidden="1" customHeight="1"/>
    <row r="748" ht="21" hidden="1" customHeight="1"/>
    <row r="749" ht="21" hidden="1" customHeight="1"/>
    <row r="750" ht="21" hidden="1" customHeight="1"/>
    <row r="751" ht="21" hidden="1" customHeight="1"/>
    <row r="752" ht="21" hidden="1" customHeight="1"/>
    <row r="753" ht="21" hidden="1" customHeight="1"/>
    <row r="754" ht="21" hidden="1" customHeight="1"/>
    <row r="755" ht="21" hidden="1" customHeight="1"/>
    <row r="756" ht="21" hidden="1" customHeight="1"/>
    <row r="757" ht="21" hidden="1" customHeight="1"/>
    <row r="758" ht="21" hidden="1" customHeight="1"/>
    <row r="759" ht="21" hidden="1" customHeight="1"/>
    <row r="760" ht="21" hidden="1" customHeight="1"/>
    <row r="761" ht="21" hidden="1" customHeight="1"/>
    <row r="762" ht="21" hidden="1" customHeight="1"/>
    <row r="763" ht="21" hidden="1" customHeight="1"/>
    <row r="764" ht="21" hidden="1" customHeight="1"/>
    <row r="765" ht="21" hidden="1" customHeight="1"/>
    <row r="766" ht="21" hidden="1" customHeight="1"/>
    <row r="767" ht="21" hidden="1" customHeight="1"/>
    <row r="768" ht="21" hidden="1" customHeight="1"/>
    <row r="769" ht="21" hidden="1" customHeight="1"/>
    <row r="770" ht="21" hidden="1" customHeight="1"/>
    <row r="771" ht="21" hidden="1" customHeight="1"/>
    <row r="772" ht="21" hidden="1" customHeight="1"/>
    <row r="773" ht="21" hidden="1" customHeight="1"/>
    <row r="774" ht="21" hidden="1" customHeight="1"/>
    <row r="775" ht="21" hidden="1" customHeight="1"/>
    <row r="776" ht="21" hidden="1" customHeight="1"/>
    <row r="777" ht="21" hidden="1" customHeight="1"/>
    <row r="778" ht="21" hidden="1" customHeight="1"/>
    <row r="779" ht="21" hidden="1" customHeight="1"/>
    <row r="780" ht="21" hidden="1" customHeight="1"/>
    <row r="781" ht="21" hidden="1" customHeight="1"/>
    <row r="782" ht="21" hidden="1" customHeight="1"/>
    <row r="783" ht="21" hidden="1" customHeight="1"/>
    <row r="784" ht="21" hidden="1" customHeight="1"/>
    <row r="785" ht="21" hidden="1" customHeight="1"/>
    <row r="786" ht="21" hidden="1" customHeight="1"/>
    <row r="787" ht="21" hidden="1" customHeight="1"/>
    <row r="788" ht="21" hidden="1" customHeight="1"/>
    <row r="789" ht="21" hidden="1" customHeight="1"/>
    <row r="790" ht="21" hidden="1" customHeight="1"/>
    <row r="791" ht="21" hidden="1" customHeight="1"/>
    <row r="792" ht="21" hidden="1" customHeight="1"/>
    <row r="793" ht="21" hidden="1" customHeight="1"/>
    <row r="794" ht="21" hidden="1" customHeight="1"/>
    <row r="795" ht="21" hidden="1" customHeight="1"/>
    <row r="796" ht="21" hidden="1" customHeight="1"/>
    <row r="797" ht="21" hidden="1" customHeight="1"/>
    <row r="798" ht="21" hidden="1" customHeight="1"/>
    <row r="799" ht="21" hidden="1" customHeight="1"/>
    <row r="800" ht="21" hidden="1" customHeight="1"/>
    <row r="801" ht="21" hidden="1" customHeight="1"/>
    <row r="802" ht="21" hidden="1" customHeight="1"/>
    <row r="803" ht="21" hidden="1" customHeight="1"/>
    <row r="804" ht="21" hidden="1" customHeight="1"/>
    <row r="805" ht="21" hidden="1" customHeight="1"/>
    <row r="806" ht="21" hidden="1" customHeight="1"/>
    <row r="807" ht="21" hidden="1" customHeight="1"/>
    <row r="808" ht="21" hidden="1" customHeight="1"/>
    <row r="809" ht="21" hidden="1" customHeight="1"/>
    <row r="810" ht="21" hidden="1" customHeight="1"/>
    <row r="811" ht="21" hidden="1" customHeight="1"/>
    <row r="812" ht="21" hidden="1" customHeight="1"/>
    <row r="813" ht="21" hidden="1" customHeight="1"/>
    <row r="814" ht="21" hidden="1" customHeight="1"/>
    <row r="815" ht="21" hidden="1" customHeight="1"/>
    <row r="816" ht="21" hidden="1" customHeight="1"/>
    <row r="817" ht="21" hidden="1" customHeight="1"/>
    <row r="818" ht="21" hidden="1" customHeight="1"/>
    <row r="819" ht="21" hidden="1" customHeight="1"/>
    <row r="820" ht="21" hidden="1" customHeight="1"/>
    <row r="821" ht="21" hidden="1" customHeight="1"/>
    <row r="822" ht="21" hidden="1" customHeight="1"/>
    <row r="823" ht="21" hidden="1" customHeight="1"/>
    <row r="824" ht="21" hidden="1" customHeight="1"/>
    <row r="825" ht="21" hidden="1" customHeight="1"/>
    <row r="826" ht="21" hidden="1" customHeight="1"/>
    <row r="827" ht="21" hidden="1" customHeight="1"/>
    <row r="828" ht="21" hidden="1" customHeight="1"/>
    <row r="829" ht="21" hidden="1" customHeight="1"/>
    <row r="830" ht="21" hidden="1" customHeight="1"/>
    <row r="831" ht="21" hidden="1" customHeight="1"/>
    <row r="832" ht="21" hidden="1" customHeight="1"/>
    <row r="833" ht="21" hidden="1" customHeight="1"/>
    <row r="834" ht="21" hidden="1" customHeight="1"/>
    <row r="835" ht="21" hidden="1" customHeight="1"/>
    <row r="836" ht="21" hidden="1" customHeight="1"/>
    <row r="837" ht="21" hidden="1" customHeight="1"/>
    <row r="838" ht="21" hidden="1" customHeight="1"/>
    <row r="839" ht="21" hidden="1" customHeight="1"/>
    <row r="840" ht="21" hidden="1" customHeight="1"/>
    <row r="841" ht="21" hidden="1" customHeight="1"/>
    <row r="842" ht="21" hidden="1" customHeight="1"/>
    <row r="843" ht="21" hidden="1" customHeight="1"/>
    <row r="844" ht="21" hidden="1" customHeight="1"/>
    <row r="845" ht="21" hidden="1" customHeight="1"/>
    <row r="846" ht="21" hidden="1" customHeight="1"/>
    <row r="847" ht="21" hidden="1" customHeight="1"/>
    <row r="848" ht="21" hidden="1" customHeight="1"/>
    <row r="849" ht="21" hidden="1" customHeight="1"/>
    <row r="850" ht="21" hidden="1" customHeight="1"/>
    <row r="851" ht="21" hidden="1" customHeight="1"/>
    <row r="852" ht="21" hidden="1" customHeight="1"/>
    <row r="853" ht="21" hidden="1" customHeight="1"/>
    <row r="854" ht="21" hidden="1" customHeight="1"/>
    <row r="855" ht="21" hidden="1" customHeight="1"/>
    <row r="856" ht="21" hidden="1" customHeight="1"/>
    <row r="857" ht="21" hidden="1" customHeight="1"/>
    <row r="858" ht="21" hidden="1" customHeight="1"/>
    <row r="859" ht="21" hidden="1" customHeight="1"/>
    <row r="860" ht="21" hidden="1" customHeight="1"/>
    <row r="861" ht="21" hidden="1" customHeight="1"/>
    <row r="862" ht="21" hidden="1" customHeight="1"/>
    <row r="863" ht="21" hidden="1" customHeight="1"/>
    <row r="864" ht="21" hidden="1" customHeight="1"/>
    <row r="865" ht="21" hidden="1" customHeight="1"/>
    <row r="866" ht="21" hidden="1" customHeight="1"/>
    <row r="867" ht="21" hidden="1" customHeight="1"/>
    <row r="868" ht="21" hidden="1" customHeight="1"/>
    <row r="869" ht="21" hidden="1" customHeight="1"/>
    <row r="870" ht="21" hidden="1" customHeight="1"/>
    <row r="871" ht="21" hidden="1" customHeight="1"/>
    <row r="872" ht="21" hidden="1" customHeight="1"/>
    <row r="873" ht="21" hidden="1" customHeight="1"/>
    <row r="874" ht="21" hidden="1" customHeight="1"/>
    <row r="875" ht="21" hidden="1" customHeight="1"/>
    <row r="876" ht="21" hidden="1" customHeight="1"/>
    <row r="877" ht="21" hidden="1" customHeight="1"/>
    <row r="878" ht="21" hidden="1" customHeight="1"/>
    <row r="879" ht="21" hidden="1" customHeight="1"/>
    <row r="880" ht="21" hidden="1" customHeight="1"/>
    <row r="881" ht="21" hidden="1" customHeight="1"/>
    <row r="882" ht="21" hidden="1" customHeight="1"/>
    <row r="883" ht="21" hidden="1" customHeight="1"/>
    <row r="884" ht="21" hidden="1" customHeight="1"/>
    <row r="885" ht="21" hidden="1" customHeight="1"/>
    <row r="886" ht="21" hidden="1" customHeight="1"/>
    <row r="887" ht="21" hidden="1" customHeight="1"/>
    <row r="888" ht="21" hidden="1" customHeight="1"/>
    <row r="889" ht="21" hidden="1" customHeight="1"/>
    <row r="890" ht="21" hidden="1" customHeight="1"/>
    <row r="891" ht="21" hidden="1" customHeight="1"/>
    <row r="892" ht="21" hidden="1" customHeight="1"/>
    <row r="893" ht="21" hidden="1" customHeight="1"/>
    <row r="894" ht="21" hidden="1" customHeight="1"/>
    <row r="895" ht="21" hidden="1" customHeight="1"/>
    <row r="896" ht="21" hidden="1" customHeight="1"/>
    <row r="897" ht="21" hidden="1" customHeight="1"/>
    <row r="898" ht="21" hidden="1" customHeight="1"/>
    <row r="899" ht="21" hidden="1" customHeight="1"/>
    <row r="900" ht="21" hidden="1" customHeight="1"/>
    <row r="901" ht="21" hidden="1" customHeight="1"/>
    <row r="902" ht="21" hidden="1" customHeight="1"/>
    <row r="903" ht="21" hidden="1" customHeight="1"/>
    <row r="904" ht="21" hidden="1" customHeight="1"/>
    <row r="905" ht="21" hidden="1" customHeight="1"/>
    <row r="906" ht="21" hidden="1" customHeight="1"/>
    <row r="907" ht="21" hidden="1" customHeight="1"/>
    <row r="908" ht="21" hidden="1" customHeight="1"/>
    <row r="909" ht="21" hidden="1" customHeight="1"/>
    <row r="910" ht="21" hidden="1" customHeight="1"/>
    <row r="911" ht="21" hidden="1" customHeight="1"/>
    <row r="912" ht="21" hidden="1" customHeight="1"/>
    <row r="913" ht="21" hidden="1" customHeight="1"/>
    <row r="914" ht="21" hidden="1" customHeight="1"/>
    <row r="915" ht="21" hidden="1" customHeight="1"/>
    <row r="916" ht="21" hidden="1" customHeight="1"/>
    <row r="917" ht="21" hidden="1" customHeight="1"/>
    <row r="918" ht="21" hidden="1" customHeight="1"/>
    <row r="919" ht="21" hidden="1" customHeight="1"/>
    <row r="920" ht="21" hidden="1" customHeight="1"/>
    <row r="921" ht="21" hidden="1" customHeight="1"/>
    <row r="922" ht="21" hidden="1" customHeight="1"/>
    <row r="923" ht="21" hidden="1" customHeight="1"/>
    <row r="924" ht="21" hidden="1" customHeight="1"/>
    <row r="925" ht="21" hidden="1" customHeight="1"/>
    <row r="926" ht="21" hidden="1" customHeight="1"/>
    <row r="927" ht="21" hidden="1" customHeight="1"/>
    <row r="928" ht="21" hidden="1" customHeight="1"/>
    <row r="929" ht="21" hidden="1" customHeight="1"/>
    <row r="930" ht="21" hidden="1" customHeight="1"/>
    <row r="931" ht="21" hidden="1" customHeight="1"/>
    <row r="932" ht="21" hidden="1" customHeight="1"/>
    <row r="933" ht="21" hidden="1" customHeight="1"/>
    <row r="934" ht="21" hidden="1" customHeight="1"/>
    <row r="935" ht="21" hidden="1" customHeight="1"/>
    <row r="936" ht="21" hidden="1" customHeight="1"/>
    <row r="937" ht="21" hidden="1" customHeight="1"/>
    <row r="938" ht="21" hidden="1" customHeight="1"/>
    <row r="939" ht="21" hidden="1" customHeight="1"/>
    <row r="940" ht="21" hidden="1" customHeight="1"/>
    <row r="941" ht="21" hidden="1" customHeight="1"/>
    <row r="942" ht="21" hidden="1" customHeight="1"/>
    <row r="943" ht="21" hidden="1" customHeight="1"/>
    <row r="944" ht="21" hidden="1" customHeight="1"/>
    <row r="945" ht="21" hidden="1" customHeight="1"/>
    <row r="946" ht="21" hidden="1" customHeight="1"/>
    <row r="947" ht="21" hidden="1" customHeight="1"/>
    <row r="948" ht="21" hidden="1" customHeight="1"/>
    <row r="949" ht="21" hidden="1" customHeight="1"/>
    <row r="950" ht="21" hidden="1" customHeight="1"/>
    <row r="951" ht="21" hidden="1" customHeight="1"/>
    <row r="952" ht="21" hidden="1" customHeight="1"/>
    <row r="953" ht="21" hidden="1" customHeight="1"/>
    <row r="954" ht="21" hidden="1" customHeight="1"/>
    <row r="955" ht="21" hidden="1" customHeight="1"/>
    <row r="956" ht="21" hidden="1" customHeight="1"/>
    <row r="957" ht="21" hidden="1" customHeight="1"/>
    <row r="958" ht="21" hidden="1" customHeight="1"/>
    <row r="959" ht="21" hidden="1" customHeight="1"/>
    <row r="960" ht="21" hidden="1" customHeight="1"/>
    <row r="961" ht="21" hidden="1" customHeight="1"/>
    <row r="962" ht="21" hidden="1" customHeight="1"/>
    <row r="963" ht="21" hidden="1" customHeight="1"/>
    <row r="964" ht="21" hidden="1" customHeight="1"/>
    <row r="965" ht="21" hidden="1" customHeight="1"/>
    <row r="966" ht="21" hidden="1" customHeight="1"/>
    <row r="967" ht="21" hidden="1" customHeight="1"/>
    <row r="968" ht="21" hidden="1" customHeight="1"/>
    <row r="969" ht="21" hidden="1" customHeight="1"/>
    <row r="970" ht="21" hidden="1" customHeight="1"/>
    <row r="971" ht="21" hidden="1" customHeight="1"/>
    <row r="972" ht="21" hidden="1" customHeight="1"/>
    <row r="973" ht="21" hidden="1" customHeight="1"/>
    <row r="974" ht="21" hidden="1" customHeight="1"/>
    <row r="975" ht="21" hidden="1" customHeight="1"/>
    <row r="976" ht="21" hidden="1" customHeight="1"/>
    <row r="977" ht="21" hidden="1" customHeight="1"/>
    <row r="978" ht="21" hidden="1" customHeight="1"/>
    <row r="979" ht="21" hidden="1" customHeight="1"/>
    <row r="980" ht="21" hidden="1" customHeight="1"/>
    <row r="981" ht="21" hidden="1" customHeight="1"/>
    <row r="982" ht="21" hidden="1" customHeight="1"/>
    <row r="983" ht="21" hidden="1" customHeight="1"/>
    <row r="984" ht="21" hidden="1" customHeight="1"/>
    <row r="985" ht="21" hidden="1" customHeight="1"/>
    <row r="986" ht="21" hidden="1" customHeight="1"/>
    <row r="987" ht="21" hidden="1" customHeight="1"/>
    <row r="988" ht="21" hidden="1" customHeight="1"/>
    <row r="989" ht="21" hidden="1" customHeight="1"/>
    <row r="990" ht="21" hidden="1" customHeight="1"/>
    <row r="991" ht="21" hidden="1" customHeight="1"/>
    <row r="992" ht="21" hidden="1" customHeight="1"/>
    <row r="993" ht="21" hidden="1" customHeight="1"/>
    <row r="994" ht="21" hidden="1" customHeight="1"/>
    <row r="995" ht="21" hidden="1" customHeight="1"/>
    <row r="996" ht="21" hidden="1" customHeight="1"/>
    <row r="997" ht="21" hidden="1" customHeight="1"/>
    <row r="998" ht="21" hidden="1" customHeight="1"/>
    <row r="999" ht="21" hidden="1" customHeight="1"/>
    <row r="1000" ht="21" hidden="1" customHeight="1"/>
    <row r="1001" ht="21" hidden="1" customHeight="1"/>
    <row r="1002" ht="21" hidden="1" customHeight="1"/>
    <row r="1003" ht="21" hidden="1" customHeight="1"/>
    <row r="1004" ht="21" hidden="1" customHeight="1"/>
    <row r="1005" ht="21" hidden="1" customHeight="1"/>
    <row r="1006" ht="21" hidden="1" customHeight="1"/>
    <row r="1007" ht="21" hidden="1" customHeight="1"/>
    <row r="1008" ht="21" hidden="1" customHeight="1"/>
    <row r="1009" ht="21" hidden="1" customHeight="1"/>
    <row r="1010" ht="21" hidden="1" customHeight="1"/>
    <row r="1011" ht="21" hidden="1" customHeight="1"/>
    <row r="1012" ht="21" hidden="1" customHeight="1"/>
    <row r="1013" ht="21" hidden="1" customHeight="1"/>
    <row r="1014" ht="21" hidden="1" customHeight="1"/>
    <row r="1015" ht="21" hidden="1" customHeight="1"/>
    <row r="1016" ht="21" hidden="1" customHeight="1"/>
    <row r="1017" ht="21" hidden="1" customHeight="1"/>
    <row r="1018" ht="21" hidden="1" customHeight="1"/>
    <row r="1019" ht="21" hidden="1" customHeight="1"/>
    <row r="1020" ht="21" hidden="1" customHeight="1"/>
    <row r="1021" ht="21" hidden="1" customHeight="1"/>
    <row r="1022" ht="21" hidden="1" customHeight="1"/>
    <row r="1023" ht="21" hidden="1" customHeight="1"/>
    <row r="1024" ht="21" hidden="1" customHeight="1"/>
    <row r="1025" ht="21" hidden="1" customHeight="1"/>
    <row r="1026" ht="21" hidden="1" customHeight="1"/>
    <row r="1027" ht="21" hidden="1" customHeight="1"/>
    <row r="1028" ht="21" hidden="1" customHeight="1"/>
    <row r="1029" ht="21" hidden="1" customHeight="1"/>
    <row r="1030" ht="21" hidden="1" customHeight="1"/>
    <row r="1031" ht="21" hidden="1" customHeight="1"/>
    <row r="1032" ht="21" hidden="1" customHeight="1"/>
    <row r="1033" ht="21" hidden="1" customHeight="1"/>
    <row r="1034" ht="21" hidden="1" customHeight="1"/>
    <row r="1035" ht="21" hidden="1" customHeight="1"/>
    <row r="1036" ht="21" hidden="1" customHeight="1"/>
    <row r="1037" ht="21" hidden="1" customHeight="1"/>
    <row r="1038" ht="21" hidden="1" customHeight="1"/>
    <row r="1039" ht="21" hidden="1" customHeight="1"/>
    <row r="1040" ht="21" hidden="1" customHeight="1"/>
    <row r="1041" ht="21" hidden="1" customHeight="1"/>
    <row r="1042" ht="21" hidden="1" customHeight="1"/>
    <row r="1043" ht="21" hidden="1" customHeight="1"/>
    <row r="1044" ht="21" hidden="1" customHeight="1"/>
    <row r="1045" ht="21" hidden="1" customHeight="1"/>
    <row r="1046" ht="21" hidden="1" customHeight="1"/>
    <row r="1047" ht="21" hidden="1" customHeight="1"/>
    <row r="1048" ht="21" hidden="1" customHeight="1"/>
    <row r="1049" ht="21" hidden="1" customHeight="1"/>
    <row r="1050" ht="21" hidden="1" customHeight="1"/>
    <row r="1051" ht="21" hidden="1" customHeight="1"/>
    <row r="1052" ht="21" hidden="1" customHeight="1"/>
    <row r="1053" ht="21" hidden="1" customHeight="1"/>
    <row r="1054" ht="21" hidden="1" customHeight="1"/>
    <row r="1055" ht="21" hidden="1" customHeight="1"/>
    <row r="1056" ht="21" hidden="1" customHeight="1"/>
    <row r="1057" ht="21" hidden="1" customHeight="1"/>
    <row r="1058" ht="21" hidden="1" customHeight="1"/>
    <row r="1059" ht="21" hidden="1" customHeight="1"/>
    <row r="1060" ht="21" hidden="1" customHeight="1"/>
    <row r="1061" ht="21" hidden="1" customHeight="1"/>
    <row r="1062" ht="21" hidden="1" customHeight="1"/>
    <row r="1063" ht="21" hidden="1" customHeight="1"/>
    <row r="1064" ht="21" hidden="1" customHeight="1"/>
    <row r="1065" ht="21" hidden="1" customHeight="1"/>
    <row r="1066" ht="21" hidden="1" customHeight="1"/>
    <row r="1067" ht="21" hidden="1" customHeight="1"/>
    <row r="1068" ht="21" hidden="1" customHeight="1"/>
    <row r="1069" ht="21" hidden="1" customHeight="1"/>
    <row r="1070" ht="21" hidden="1" customHeight="1"/>
    <row r="1071" ht="21" hidden="1" customHeight="1"/>
    <row r="1072" ht="21" hidden="1" customHeight="1"/>
    <row r="1073" ht="21" hidden="1" customHeight="1"/>
    <row r="1074" ht="21" hidden="1" customHeight="1"/>
    <row r="1075" ht="21" hidden="1" customHeight="1"/>
    <row r="1076" ht="21" hidden="1" customHeight="1"/>
    <row r="1077" ht="21" hidden="1" customHeight="1"/>
    <row r="1078" ht="21" hidden="1" customHeight="1"/>
    <row r="1079" ht="21" hidden="1" customHeight="1"/>
    <row r="1080" ht="21" hidden="1" customHeight="1"/>
    <row r="1081" ht="21" hidden="1" customHeight="1"/>
    <row r="1082" ht="21" hidden="1" customHeight="1"/>
    <row r="1083" ht="21" hidden="1" customHeight="1"/>
    <row r="1084" ht="21" hidden="1" customHeight="1"/>
    <row r="1085" ht="21" hidden="1" customHeight="1"/>
    <row r="1086" ht="21" hidden="1" customHeight="1"/>
    <row r="1087" ht="21" hidden="1" customHeight="1"/>
    <row r="1088" ht="21" hidden="1" customHeight="1"/>
    <row r="1089" ht="21" hidden="1" customHeight="1"/>
    <row r="1090" ht="21" hidden="1" customHeight="1"/>
    <row r="1091" ht="21" hidden="1" customHeight="1"/>
    <row r="1092" ht="21" hidden="1" customHeight="1"/>
    <row r="1093" ht="21" hidden="1" customHeight="1"/>
    <row r="1094" ht="21" hidden="1" customHeight="1"/>
    <row r="1095" ht="21" hidden="1" customHeight="1"/>
    <row r="1096" ht="21" hidden="1" customHeight="1"/>
    <row r="1097" ht="21" hidden="1" customHeight="1"/>
    <row r="1098" ht="21" hidden="1" customHeight="1"/>
    <row r="1099" ht="21" hidden="1" customHeight="1"/>
    <row r="1100" ht="21" hidden="1" customHeight="1"/>
    <row r="1101" ht="21" hidden="1" customHeight="1"/>
    <row r="1102" ht="21" hidden="1" customHeight="1"/>
    <row r="1103" ht="21" hidden="1" customHeight="1"/>
    <row r="1104" ht="21" hidden="1" customHeight="1"/>
    <row r="1105" ht="21" hidden="1" customHeight="1"/>
    <row r="1106" ht="21" hidden="1" customHeight="1"/>
    <row r="1107" ht="21" hidden="1" customHeight="1"/>
    <row r="1108" ht="21" hidden="1" customHeight="1"/>
    <row r="1109" ht="21" hidden="1" customHeight="1"/>
    <row r="1110" ht="21" hidden="1" customHeight="1"/>
    <row r="1111" ht="21" hidden="1" customHeight="1"/>
    <row r="1112" ht="21" hidden="1" customHeight="1"/>
    <row r="1113" ht="21" hidden="1" customHeight="1"/>
    <row r="1114" ht="21" hidden="1" customHeight="1"/>
    <row r="1115" ht="21" hidden="1" customHeight="1"/>
    <row r="1116" ht="21" hidden="1" customHeight="1"/>
    <row r="1117" ht="21" hidden="1" customHeight="1"/>
    <row r="1118" ht="21" hidden="1" customHeight="1"/>
    <row r="1119" ht="21" hidden="1" customHeight="1"/>
    <row r="1120" ht="21" hidden="1" customHeight="1"/>
    <row r="1121" ht="21" hidden="1" customHeight="1"/>
    <row r="1122" ht="21" hidden="1" customHeight="1"/>
    <row r="1123" ht="21" hidden="1" customHeight="1"/>
    <row r="1124" ht="21" hidden="1" customHeight="1"/>
    <row r="1125" ht="21" hidden="1" customHeight="1"/>
    <row r="1126" ht="21" hidden="1" customHeight="1"/>
    <row r="1127" ht="21" hidden="1" customHeight="1"/>
    <row r="1128" ht="21" hidden="1" customHeight="1"/>
    <row r="1129" ht="21" hidden="1" customHeight="1"/>
    <row r="1130" ht="21" hidden="1" customHeight="1"/>
    <row r="1131" ht="21" hidden="1" customHeight="1"/>
    <row r="1132" ht="21" hidden="1" customHeight="1"/>
    <row r="1133" ht="21" hidden="1" customHeight="1"/>
    <row r="1134" ht="21" hidden="1" customHeight="1"/>
    <row r="1135" ht="21" hidden="1" customHeight="1"/>
    <row r="1136" ht="21" hidden="1" customHeight="1"/>
    <row r="1137" ht="21" hidden="1" customHeight="1"/>
    <row r="1138" ht="21" hidden="1" customHeight="1"/>
    <row r="1139" ht="21" hidden="1" customHeight="1"/>
    <row r="1140" ht="21" hidden="1" customHeight="1"/>
    <row r="1141" ht="21" hidden="1" customHeight="1"/>
    <row r="1142" ht="21" hidden="1" customHeight="1"/>
    <row r="1143" ht="21" hidden="1" customHeight="1"/>
    <row r="1144" ht="21" hidden="1" customHeight="1"/>
    <row r="1145" ht="21" hidden="1" customHeight="1"/>
    <row r="1146" ht="21" hidden="1" customHeight="1"/>
    <row r="1147" ht="21" hidden="1" customHeight="1"/>
    <row r="1148" ht="21" hidden="1" customHeight="1"/>
    <row r="1149" ht="21" hidden="1" customHeight="1"/>
    <row r="1150" ht="21" hidden="1" customHeight="1"/>
    <row r="1151" ht="21" hidden="1" customHeight="1"/>
    <row r="1152" ht="21" hidden="1" customHeight="1"/>
    <row r="1153" ht="21" hidden="1" customHeight="1"/>
    <row r="1154" ht="21" hidden="1" customHeight="1"/>
    <row r="1155" ht="21" hidden="1" customHeight="1"/>
    <row r="1156" ht="21" hidden="1" customHeight="1"/>
    <row r="1157" ht="21" hidden="1" customHeight="1"/>
    <row r="1158" ht="21" hidden="1" customHeight="1"/>
    <row r="1159" ht="21" hidden="1" customHeight="1"/>
    <row r="1160" ht="21" hidden="1" customHeight="1"/>
    <row r="1161" ht="21" hidden="1" customHeight="1"/>
    <row r="1162" ht="21" hidden="1" customHeight="1"/>
    <row r="1163" ht="21" hidden="1" customHeight="1"/>
    <row r="1164" ht="21" hidden="1" customHeight="1"/>
    <row r="1165" ht="21" hidden="1" customHeight="1"/>
    <row r="1166" ht="21" hidden="1" customHeight="1"/>
    <row r="1167" ht="21" hidden="1" customHeight="1"/>
    <row r="1168" ht="21" hidden="1" customHeight="1"/>
    <row r="1169" ht="21" hidden="1" customHeight="1"/>
    <row r="1170" ht="21" hidden="1" customHeight="1"/>
    <row r="1171" ht="21" hidden="1" customHeight="1"/>
    <row r="1172" ht="21" hidden="1" customHeight="1"/>
    <row r="1173" ht="21" hidden="1" customHeight="1"/>
    <row r="1174" ht="21" hidden="1" customHeight="1"/>
    <row r="1175" ht="21" hidden="1" customHeight="1"/>
    <row r="1176" ht="21" hidden="1" customHeight="1"/>
    <row r="1177" ht="21" hidden="1" customHeight="1"/>
    <row r="1178" ht="21" hidden="1" customHeight="1"/>
    <row r="1179" ht="21" hidden="1" customHeight="1"/>
    <row r="1180" ht="21" hidden="1" customHeight="1"/>
    <row r="1181" ht="21" hidden="1" customHeight="1"/>
    <row r="1182" ht="21" hidden="1" customHeight="1"/>
    <row r="1183" ht="21" hidden="1" customHeight="1"/>
    <row r="1184" ht="21" hidden="1" customHeight="1"/>
    <row r="1185" ht="21" hidden="1" customHeight="1"/>
    <row r="1186" ht="21" hidden="1" customHeight="1"/>
    <row r="1187" ht="21" hidden="1" customHeight="1"/>
    <row r="1188" ht="21" hidden="1" customHeight="1"/>
    <row r="1189" ht="21" hidden="1" customHeight="1"/>
    <row r="1190" ht="21" hidden="1" customHeight="1"/>
    <row r="1191" ht="21" hidden="1" customHeight="1"/>
    <row r="1192" ht="21" hidden="1" customHeight="1"/>
    <row r="1193" ht="21" hidden="1" customHeight="1"/>
    <row r="1194" ht="21" hidden="1" customHeight="1"/>
    <row r="1195" ht="21" hidden="1" customHeight="1"/>
    <row r="1196" ht="21" hidden="1" customHeight="1"/>
    <row r="1197" ht="21" hidden="1" customHeight="1"/>
    <row r="1198" ht="21" hidden="1" customHeight="1"/>
    <row r="1199" ht="21" hidden="1" customHeight="1"/>
    <row r="1200" ht="21" hidden="1" customHeight="1"/>
    <row r="1201" spans="1:22" ht="21" hidden="1" customHeight="1"/>
    <row r="1202" spans="1:22" ht="21" customHeight="1">
      <c r="A1202" s="140" t="s">
        <v>338</v>
      </c>
      <c r="B1202" s="140" t="s">
        <v>339</v>
      </c>
      <c r="C1202" s="140">
        <v>6280</v>
      </c>
      <c r="D1202" s="141" t="s">
        <v>340</v>
      </c>
      <c r="E1202" s="141" t="s">
        <v>341</v>
      </c>
      <c r="F1202" s="142" t="s">
        <v>355</v>
      </c>
      <c r="G1202" s="140" t="s">
        <v>343</v>
      </c>
      <c r="H1202" s="140" t="str">
        <f>A1202&amp;B1202&amp;"-"&amp;C1202&amp;"-"&amp;D1202&amp;E1202&amp;"-"&amp;F1202</f>
        <v>6105AK137-6280-CCAL-0003</v>
      </c>
      <c r="I1202" s="141" t="s">
        <v>344</v>
      </c>
      <c r="J1202" s="141"/>
      <c r="K1202" s="140" t="s">
        <v>345</v>
      </c>
      <c r="L1202" s="180" t="s">
        <v>495</v>
      </c>
      <c r="M1202" s="181" t="s">
        <v>347</v>
      </c>
      <c r="N1202" s="144" t="str">
        <f>K1202&amp;" - "&amp;L1202&amp;" - "&amp;M1202</f>
        <v>Medium Voltage (33 kV) Overhead Powerlines - Loads and structural design for anchor tower - Calculation</v>
      </c>
      <c r="O1202" s="176">
        <v>46150</v>
      </c>
      <c r="P1202" s="114">
        <v>46150</v>
      </c>
      <c r="Q1202" s="114"/>
      <c r="R1202" s="117" t="str">
        <f>IF(I1202="Approved","100%",
 IF(LEN(Q1202)&gt;0,"66%",
 IF(LEN(P1202)&gt;0,"33%",
 "0%")))</f>
        <v>33%</v>
      </c>
      <c r="S1202" s="33"/>
      <c r="T1202" s="33"/>
      <c r="U1202" s="33"/>
      <c r="V1202" s="33"/>
    </row>
    <row r="1203" spans="1:22" ht="21" customHeight="1">
      <c r="A1203" s="31"/>
      <c r="B1203" s="31"/>
      <c r="C1203" s="31"/>
      <c r="D1203" s="33"/>
      <c r="E1203" s="33"/>
      <c r="F1203" s="110"/>
      <c r="G1203" s="183"/>
      <c r="I1203" s="33"/>
      <c r="M1203" s="174"/>
    </row>
  </sheetData>
  <protectedRanges>
    <protectedRange sqref="A1203:G1203 I1203 M1203 A117:Q1202 A116:I116 M116:Q116 A3:Q115" name="Range1"/>
    <protectedRange sqref="S3:V1202" name="Range2"/>
  </protectedRanges>
  <autoFilter ref="F1205" xr:uid="{44D1E5C8-854A-4333-8F8E-D729D2462CD6}"/>
  <sortState xmlns:xlrd2="http://schemas.microsoft.com/office/spreadsheetml/2017/richdata2" ref="A38:S49">
    <sortCondition ref="H2:H115"/>
  </sortState>
  <phoneticPr fontId="9" type="noConversion"/>
  <conditionalFormatting sqref="H120 N119:N1048576 N2:N117">
    <cfRule type="duplicateValues" dxfId="32" priority="10"/>
    <cfRule type="duplicateValues" dxfId="31" priority="12"/>
  </conditionalFormatting>
  <conditionalFormatting sqref="J121 H119 H121:H1048576 H2:H117">
    <cfRule type="duplicateValues" dxfId="30" priority="13"/>
    <cfRule type="duplicateValues" dxfId="29" priority="14"/>
  </conditionalFormatting>
  <conditionalFormatting sqref="P46">
    <cfRule type="expression" dxfId="28" priority="2">
      <formula>AND(ISNUMBER($O$3), $O$3&lt;TODAY())</formula>
    </cfRule>
  </conditionalFormatting>
  <conditionalFormatting sqref="R2:R1207 R1209:R1048576">
    <cfRule type="cellIs" dxfId="27" priority="8" operator="equal">
      <formula>1</formula>
    </cfRule>
  </conditionalFormatting>
  <dataValidations count="1">
    <dataValidation type="list" allowBlank="1" showInputMessage="1" showErrorMessage="1" sqref="D3:D1048576" xr:uid="{C8E9C504-79FD-4531-80DB-0B31960E965A}">
      <formula1>Discipline</formula1>
    </dataValidation>
  </dataValidations>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B3FB1931-0CC4-4222-AD0C-79491A887EBC}">
          <x14:formula1>
            <xm:f>'K137 WBS Codes'!$F$4:$F$17</xm:f>
          </x14:formula1>
          <xm:sqref>K119:K120 K122:K1048576 L121 K3:K117</xm:sqref>
        </x14:dataValidation>
        <x14:dataValidation type="list" allowBlank="1" showInputMessage="1" showErrorMessage="1" xr:uid="{123B363D-4554-40D6-A352-7BE83E20FD3D}">
          <x14:formula1>
            <xm:f>'Document and Drawing Type'!$E$5:$E$98</xm:f>
          </x14:formula1>
          <xm:sqref>E3:E1048576</xm:sqref>
        </x14:dataValidation>
        <x14:dataValidation type="list" allowBlank="1" showInputMessage="1" showErrorMessage="1" xr:uid="{F058DDB5-383E-4BF1-B1CB-697200481BE9}">
          <x14:formula1>
            <xm:f>'K137 WBS Codes'!$E$4:$E$17</xm:f>
          </x14:formula1>
          <xm:sqref>C3:C1048576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4283-9709-45D7-80D0-216649D5F652}">
  <sheetPr codeName="Sheet3">
    <tabColor rgb="FF00B050"/>
    <pageSetUpPr fitToPage="1"/>
  </sheetPr>
  <dimension ref="A1:H17"/>
  <sheetViews>
    <sheetView zoomScale="90" zoomScaleNormal="90" workbookViewId="0">
      <selection activeCell="H14" sqref="H14"/>
    </sheetView>
  </sheetViews>
  <sheetFormatPr defaultColWidth="8.7109375" defaultRowHeight="16.5"/>
  <cols>
    <col min="1" max="4" width="8.85546875" style="5" bestFit="1" customWidth="1"/>
    <col min="5" max="5" width="11.42578125" style="5" bestFit="1" customWidth="1"/>
    <col min="6" max="6" width="69.85546875" style="5" bestFit="1" customWidth="1"/>
    <col min="7" max="7" width="8.7109375" style="4"/>
    <col min="8" max="8" width="83.28515625" style="4" bestFit="1" customWidth="1"/>
    <col min="9" max="16384" width="8.7109375" style="4"/>
  </cols>
  <sheetData>
    <row r="1" spans="1:8" ht="26.25" customHeight="1">
      <c r="A1" s="25" t="s">
        <v>496</v>
      </c>
      <c r="B1" s="25" t="s">
        <v>497</v>
      </c>
      <c r="C1" s="25" t="s">
        <v>498</v>
      </c>
      <c r="D1" s="25" t="s">
        <v>499</v>
      </c>
      <c r="E1" s="25" t="s">
        <v>500</v>
      </c>
      <c r="F1" s="25" t="s">
        <v>501</v>
      </c>
    </row>
    <row r="2" spans="1:8">
      <c r="A2" s="126">
        <v>0</v>
      </c>
      <c r="B2" s="127">
        <v>0</v>
      </c>
      <c r="C2" s="127">
        <v>0</v>
      </c>
      <c r="D2" s="127">
        <v>0</v>
      </c>
      <c r="E2" s="128">
        <v>0</v>
      </c>
      <c r="F2" s="128" t="s">
        <v>502</v>
      </c>
      <c r="G2" s="125"/>
      <c r="H2" s="125" t="s">
        <v>503</v>
      </c>
    </row>
    <row r="3" spans="1:8">
      <c r="A3" s="129">
        <v>0</v>
      </c>
      <c r="B3" s="130">
        <v>1</v>
      </c>
      <c r="C3" s="130">
        <v>0</v>
      </c>
      <c r="D3" s="130">
        <v>0</v>
      </c>
      <c r="E3" s="131">
        <v>100</v>
      </c>
      <c r="F3" s="131" t="s">
        <v>504</v>
      </c>
      <c r="G3" s="125"/>
      <c r="H3" s="125" t="s">
        <v>505</v>
      </c>
    </row>
    <row r="4" spans="1:8">
      <c r="A4" s="105">
        <v>6</v>
      </c>
      <c r="B4" s="105">
        <v>2</v>
      </c>
      <c r="C4" s="105">
        <v>3</v>
      </c>
      <c r="D4" s="105">
        <v>0</v>
      </c>
      <c r="E4" s="23">
        <v>6230</v>
      </c>
      <c r="F4" s="22" t="s">
        <v>506</v>
      </c>
      <c r="H4" s="4" t="str">
        <f t="shared" ref="H4:H17" si="0">E4&amp;" - "&amp;F4</f>
        <v>6230 - High Voltage (220 kV) Transmission Lines</v>
      </c>
    </row>
    <row r="5" spans="1:8">
      <c r="A5" s="105">
        <v>6</v>
      </c>
      <c r="B5" s="105">
        <v>2</v>
      </c>
      <c r="C5" s="105">
        <v>3</v>
      </c>
      <c r="D5" s="105">
        <v>1</v>
      </c>
      <c r="E5" s="23">
        <v>6231</v>
      </c>
      <c r="F5" s="22" t="s">
        <v>507</v>
      </c>
      <c r="H5" s="4" t="str">
        <f t="shared" si="0"/>
        <v>6231 - Solar PV Substation to Power Station Substation</v>
      </c>
    </row>
    <row r="6" spans="1:8">
      <c r="A6" s="105">
        <v>6</v>
      </c>
      <c r="B6" s="105">
        <v>2</v>
      </c>
      <c r="C6" s="105">
        <v>3</v>
      </c>
      <c r="D6" s="105">
        <v>2</v>
      </c>
      <c r="E6" s="23">
        <v>6232</v>
      </c>
      <c r="F6" s="22" t="s">
        <v>508</v>
      </c>
      <c r="H6" s="4" t="str">
        <f t="shared" si="0"/>
        <v>6232 - Power Station Substation to Plant Main Substation</v>
      </c>
    </row>
    <row r="7" spans="1:8">
      <c r="A7" s="105">
        <v>6</v>
      </c>
      <c r="B7" s="105">
        <v>2</v>
      </c>
      <c r="C7" s="105">
        <v>3</v>
      </c>
      <c r="D7" s="105">
        <v>3</v>
      </c>
      <c r="E7" s="23">
        <v>6233</v>
      </c>
      <c r="F7" s="22" t="s">
        <v>509</v>
      </c>
      <c r="H7" s="4" t="str">
        <f t="shared" si="0"/>
        <v>6233 - NDTC (Pakistan Grid Operator) Power Supply (future)</v>
      </c>
    </row>
    <row r="8" spans="1:8">
      <c r="A8" s="104">
        <v>6</v>
      </c>
      <c r="B8" s="104">
        <v>2</v>
      </c>
      <c r="C8" s="104">
        <v>8</v>
      </c>
      <c r="D8" s="104">
        <v>0</v>
      </c>
      <c r="E8" s="106">
        <v>6280</v>
      </c>
      <c r="F8" s="24" t="s">
        <v>345</v>
      </c>
      <c r="H8" s="4" t="str">
        <f t="shared" si="0"/>
        <v>6280 - Medium Voltage (33 kV) Overhead Powerlines</v>
      </c>
    </row>
    <row r="9" spans="1:8">
      <c r="A9" s="104">
        <v>6</v>
      </c>
      <c r="B9" s="104">
        <v>2</v>
      </c>
      <c r="C9" s="104">
        <v>8</v>
      </c>
      <c r="D9" s="104">
        <v>1</v>
      </c>
      <c r="E9" s="106">
        <v>6281</v>
      </c>
      <c r="F9" s="24" t="s">
        <v>510</v>
      </c>
      <c r="H9" s="4" t="str">
        <f t="shared" si="0"/>
        <v>6281 - Booster Pump Station</v>
      </c>
    </row>
    <row r="10" spans="1:8">
      <c r="A10" s="104">
        <v>6</v>
      </c>
      <c r="B10" s="104">
        <v>2</v>
      </c>
      <c r="C10" s="104">
        <v>8</v>
      </c>
      <c r="D10" s="104">
        <v>2</v>
      </c>
      <c r="E10" s="106">
        <v>6282</v>
      </c>
      <c r="F10" s="24" t="s">
        <v>511</v>
      </c>
      <c r="H10" s="4" t="str">
        <f t="shared" si="0"/>
        <v>6282 - Borefields</v>
      </c>
    </row>
    <row r="11" spans="1:8">
      <c r="A11" s="104">
        <v>6</v>
      </c>
      <c r="B11" s="104">
        <v>2</v>
      </c>
      <c r="C11" s="104">
        <v>8</v>
      </c>
      <c r="D11" s="104">
        <v>3</v>
      </c>
      <c r="E11" s="106">
        <v>6283</v>
      </c>
      <c r="F11" s="24" t="s">
        <v>512</v>
      </c>
      <c r="H11" s="4" t="str">
        <f t="shared" si="0"/>
        <v>6283 - Potable Water Treatment Plant</v>
      </c>
    </row>
    <row r="12" spans="1:8">
      <c r="A12" s="104">
        <v>6</v>
      </c>
      <c r="B12" s="104">
        <v>2</v>
      </c>
      <c r="C12" s="104">
        <v>8</v>
      </c>
      <c r="D12" s="104">
        <v>4</v>
      </c>
      <c r="E12" s="106">
        <v>6284</v>
      </c>
      <c r="F12" s="24" t="s">
        <v>513</v>
      </c>
      <c r="H12" s="4" t="str">
        <f t="shared" si="0"/>
        <v>6284 - Sewage Treatment Plant</v>
      </c>
    </row>
    <row r="13" spans="1:8">
      <c r="A13" s="104">
        <v>6</v>
      </c>
      <c r="B13" s="104">
        <v>2</v>
      </c>
      <c r="C13" s="104">
        <v>8</v>
      </c>
      <c r="D13" s="104">
        <v>5</v>
      </c>
      <c r="E13" s="106">
        <v>6285</v>
      </c>
      <c r="F13" s="24" t="s">
        <v>514</v>
      </c>
      <c r="H13" s="4" t="str">
        <f t="shared" si="0"/>
        <v>6285 - Village</v>
      </c>
    </row>
    <row r="14" spans="1:8">
      <c r="A14" s="104">
        <v>6</v>
      </c>
      <c r="B14" s="104">
        <v>2</v>
      </c>
      <c r="C14" s="104">
        <v>8</v>
      </c>
      <c r="D14" s="104">
        <v>6</v>
      </c>
      <c r="E14" s="106">
        <v>6286</v>
      </c>
      <c r="F14" s="24" t="s">
        <v>416</v>
      </c>
      <c r="H14" s="4" t="str">
        <f t="shared" si="0"/>
        <v>6286 - Mining Open Pit</v>
      </c>
    </row>
    <row r="15" spans="1:8">
      <c r="A15" s="104">
        <v>6</v>
      </c>
      <c r="B15" s="104">
        <v>2</v>
      </c>
      <c r="C15" s="104">
        <v>8</v>
      </c>
      <c r="D15" s="104">
        <v>7</v>
      </c>
      <c r="E15" s="106">
        <v>6287</v>
      </c>
      <c r="F15" s="24" t="s">
        <v>515</v>
      </c>
      <c r="H15" s="4" t="str">
        <f t="shared" si="0"/>
        <v>6287 - Primary Crushing</v>
      </c>
    </row>
    <row r="16" spans="1:8">
      <c r="A16" s="104">
        <v>6</v>
      </c>
      <c r="B16" s="104">
        <v>2</v>
      </c>
      <c r="C16" s="104">
        <v>8</v>
      </c>
      <c r="D16" s="104">
        <v>8</v>
      </c>
      <c r="E16" s="106">
        <v>6288</v>
      </c>
      <c r="F16" s="24" t="s">
        <v>516</v>
      </c>
      <c r="H16" s="4" t="str">
        <f t="shared" si="0"/>
        <v>6288 - Tailings Storage Facility</v>
      </c>
    </row>
    <row r="17" spans="1:8">
      <c r="A17" s="104">
        <v>6</v>
      </c>
      <c r="B17" s="104">
        <v>2</v>
      </c>
      <c r="C17" s="104">
        <v>8</v>
      </c>
      <c r="D17" s="104">
        <v>9</v>
      </c>
      <c r="E17" s="106">
        <v>6289</v>
      </c>
      <c r="F17" s="24" t="s">
        <v>517</v>
      </c>
      <c r="H17" s="4" t="str">
        <f t="shared" si="0"/>
        <v>6289 - Rail Offloading Facility</v>
      </c>
    </row>
  </sheetData>
  <autoFilter ref="A1:F5" xr:uid="{2E2D1551-9F29-4E79-92C0-89D2466EC194}">
    <sortState xmlns:xlrd2="http://schemas.microsoft.com/office/spreadsheetml/2017/richdata2" ref="A2:F35">
      <sortCondition ref="E1:E5"/>
    </sortState>
  </autoFilter>
  <conditionalFormatting sqref="E4:E1048576 E1">
    <cfRule type="duplicateValues" dxfId="0" priority="1"/>
  </conditionalFormatting>
  <pageMargins left="0.70866141732283472" right="0.70866141732283472" top="0.74803149606299213" bottom="0.74803149606299213" header="0.31496062992125984" footer="0.31496062992125984"/>
  <pageSetup paperSize="9" scale="39"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B99B-A432-4D05-8DCE-1B8966F03EDB}">
  <sheetPr codeName="Sheet4">
    <tabColor rgb="FF00B050"/>
  </sheetPr>
  <dimension ref="A1:J2169"/>
  <sheetViews>
    <sheetView zoomScaleNormal="100" workbookViewId="0">
      <selection activeCell="C20" sqref="C20"/>
    </sheetView>
  </sheetViews>
  <sheetFormatPr defaultColWidth="9.140625" defaultRowHeight="13.5"/>
  <cols>
    <col min="1" max="1" width="2.85546875" style="38" bestFit="1" customWidth="1"/>
    <col min="2" max="2" width="2.85546875" style="38" customWidth="1"/>
    <col min="3" max="4" width="2.85546875" style="38" bestFit="1" customWidth="1"/>
    <col min="5" max="5" width="12.28515625" style="38" bestFit="1" customWidth="1"/>
    <col min="6" max="6" width="55.5703125" style="38" bestFit="1" customWidth="1"/>
    <col min="7" max="8" width="21.42578125" style="38" bestFit="1" customWidth="1"/>
    <col min="9" max="9" width="16.28515625" style="38" bestFit="1" customWidth="1"/>
    <col min="10" max="10" width="44.5703125" style="38" bestFit="1" customWidth="1"/>
    <col min="11" max="16384" width="9.140625" style="38"/>
  </cols>
  <sheetData>
    <row r="1" spans="1:10" ht="13.5" customHeight="1">
      <c r="A1" s="35"/>
      <c r="B1" s="199" t="s">
        <v>518</v>
      </c>
      <c r="C1" s="199"/>
      <c r="D1" s="36"/>
      <c r="E1" s="200" t="s">
        <v>519</v>
      </c>
      <c r="F1" s="101" t="s">
        <v>520</v>
      </c>
      <c r="G1" s="37" t="s">
        <v>521</v>
      </c>
      <c r="H1" s="202" t="s">
        <v>522</v>
      </c>
      <c r="I1" s="202" t="s">
        <v>523</v>
      </c>
      <c r="J1" s="202" t="s">
        <v>524</v>
      </c>
    </row>
    <row r="2" spans="1:10">
      <c r="A2" s="39" t="s">
        <v>525</v>
      </c>
      <c r="B2" s="40" t="s">
        <v>526</v>
      </c>
      <c r="C2" s="40" t="s">
        <v>527</v>
      </c>
      <c r="D2" s="40" t="s">
        <v>528</v>
      </c>
      <c r="E2" s="201"/>
      <c r="F2" s="102"/>
      <c r="G2" s="41"/>
      <c r="H2" s="203"/>
      <c r="I2" s="203"/>
      <c r="J2" s="203"/>
    </row>
    <row r="3" spans="1:10" ht="13.5" customHeight="1">
      <c r="A3" s="42">
        <v>0</v>
      </c>
      <c r="B3" s="88">
        <v>0</v>
      </c>
      <c r="C3" s="42">
        <v>0</v>
      </c>
      <c r="D3" s="42">
        <v>0</v>
      </c>
      <c r="E3" s="43">
        <v>0</v>
      </c>
      <c r="F3" s="100" t="s">
        <v>502</v>
      </c>
      <c r="G3" s="44" t="s">
        <v>529</v>
      </c>
      <c r="H3" s="45" t="s">
        <v>529</v>
      </c>
      <c r="I3" s="45" t="s">
        <v>529</v>
      </c>
      <c r="J3" s="45" t="s">
        <v>529</v>
      </c>
    </row>
    <row r="4" spans="1:10" ht="13.5" customHeight="1">
      <c r="A4" s="46">
        <v>0</v>
      </c>
      <c r="B4" s="90">
        <v>1</v>
      </c>
      <c r="C4" s="46">
        <v>0</v>
      </c>
      <c r="D4" s="46">
        <v>0</v>
      </c>
      <c r="E4" s="47">
        <v>100</v>
      </c>
      <c r="F4" s="99" t="s">
        <v>504</v>
      </c>
      <c r="G4" s="48" t="s">
        <v>529</v>
      </c>
      <c r="H4" s="49" t="s">
        <v>529</v>
      </c>
      <c r="I4" s="49" t="s">
        <v>529</v>
      </c>
      <c r="J4" s="49" t="s">
        <v>529</v>
      </c>
    </row>
    <row r="5" spans="1:10" ht="13.5" customHeight="1">
      <c r="A5" s="42">
        <v>1</v>
      </c>
      <c r="B5" s="88">
        <v>0</v>
      </c>
      <c r="C5" s="42">
        <v>0</v>
      </c>
      <c r="D5" s="42">
        <v>0</v>
      </c>
      <c r="E5" s="42">
        <v>1000</v>
      </c>
      <c r="F5" s="100" t="s">
        <v>530</v>
      </c>
      <c r="G5" s="44" t="s">
        <v>531</v>
      </c>
      <c r="H5" s="45" t="s">
        <v>531</v>
      </c>
      <c r="I5" s="45" t="s">
        <v>531</v>
      </c>
      <c r="J5" s="45" t="s">
        <v>531</v>
      </c>
    </row>
    <row r="6" spans="1:10" ht="27" customHeight="1">
      <c r="A6" s="46">
        <v>1</v>
      </c>
      <c r="B6" s="90">
        <v>1</v>
      </c>
      <c r="C6" s="46">
        <v>0</v>
      </c>
      <c r="D6" s="46">
        <v>0</v>
      </c>
      <c r="E6" s="46">
        <v>1100</v>
      </c>
      <c r="F6" s="99" t="s">
        <v>532</v>
      </c>
      <c r="G6" s="50" t="s">
        <v>533</v>
      </c>
      <c r="H6" s="51" t="s">
        <v>533</v>
      </c>
      <c r="I6" s="51" t="s">
        <v>533</v>
      </c>
      <c r="J6" s="51" t="s">
        <v>533</v>
      </c>
    </row>
    <row r="7" spans="1:10" ht="13.5" customHeight="1">
      <c r="A7" s="52">
        <v>1</v>
      </c>
      <c r="B7" s="89">
        <v>1</v>
      </c>
      <c r="C7" s="52">
        <v>1</v>
      </c>
      <c r="D7" s="52">
        <v>0</v>
      </c>
      <c r="E7" s="52">
        <v>1110</v>
      </c>
      <c r="F7" s="97" t="s">
        <v>534</v>
      </c>
      <c r="G7" s="53" t="s">
        <v>535</v>
      </c>
      <c r="H7" s="54" t="s">
        <v>535</v>
      </c>
      <c r="I7" s="54" t="s">
        <v>535</v>
      </c>
      <c r="J7" s="54" t="s">
        <v>535</v>
      </c>
    </row>
    <row r="8" spans="1:10" ht="13.5" customHeight="1">
      <c r="A8" s="55">
        <v>1</v>
      </c>
      <c r="B8" s="91">
        <v>1</v>
      </c>
      <c r="C8" s="55">
        <v>1</v>
      </c>
      <c r="D8" s="55">
        <v>1</v>
      </c>
      <c r="E8" s="56">
        <v>1111</v>
      </c>
      <c r="F8" s="95" t="s">
        <v>536</v>
      </c>
      <c r="G8" s="57" t="s">
        <v>535</v>
      </c>
      <c r="H8" s="58" t="s">
        <v>535</v>
      </c>
      <c r="I8" s="58" t="s">
        <v>535</v>
      </c>
      <c r="J8" s="58" t="s">
        <v>535</v>
      </c>
    </row>
    <row r="9" spans="1:10" ht="13.5" customHeight="1">
      <c r="A9" s="59">
        <v>1</v>
      </c>
      <c r="B9" s="92">
        <v>1</v>
      </c>
      <c r="C9" s="59">
        <v>1</v>
      </c>
      <c r="D9" s="59">
        <v>2</v>
      </c>
      <c r="E9" s="60">
        <v>1112</v>
      </c>
      <c r="F9" s="96" t="s">
        <v>537</v>
      </c>
      <c r="G9" s="61" t="s">
        <v>535</v>
      </c>
      <c r="H9" s="62" t="s">
        <v>535</v>
      </c>
      <c r="I9" s="62" t="s">
        <v>535</v>
      </c>
      <c r="J9" s="62" t="s">
        <v>535</v>
      </c>
    </row>
    <row r="10" spans="1:10" ht="13.5" customHeight="1">
      <c r="A10" s="59">
        <v>1</v>
      </c>
      <c r="B10" s="92">
        <v>1</v>
      </c>
      <c r="C10" s="59">
        <v>1</v>
      </c>
      <c r="D10" s="59">
        <v>3</v>
      </c>
      <c r="E10" s="60">
        <v>1113</v>
      </c>
      <c r="F10" s="96" t="s">
        <v>538</v>
      </c>
      <c r="G10" s="61" t="s">
        <v>535</v>
      </c>
      <c r="H10" s="62" t="s">
        <v>535</v>
      </c>
      <c r="I10" s="62" t="s">
        <v>535</v>
      </c>
      <c r="J10" s="62" t="s">
        <v>535</v>
      </c>
    </row>
    <row r="11" spans="1:10" ht="13.5" customHeight="1">
      <c r="A11" s="59">
        <v>1</v>
      </c>
      <c r="B11" s="92">
        <v>1</v>
      </c>
      <c r="C11" s="59">
        <v>1</v>
      </c>
      <c r="D11" s="59">
        <v>4</v>
      </c>
      <c r="E11" s="60">
        <v>1114</v>
      </c>
      <c r="F11" s="96" t="s">
        <v>539</v>
      </c>
      <c r="G11" s="61" t="s">
        <v>535</v>
      </c>
      <c r="H11" s="62" t="s">
        <v>535</v>
      </c>
      <c r="I11" s="62" t="s">
        <v>535</v>
      </c>
      <c r="J11" s="62" t="s">
        <v>535</v>
      </c>
    </row>
    <row r="12" spans="1:10" ht="13.5" customHeight="1">
      <c r="A12" s="59">
        <v>1</v>
      </c>
      <c r="B12" s="92">
        <v>1</v>
      </c>
      <c r="C12" s="59">
        <v>1</v>
      </c>
      <c r="D12" s="59">
        <v>5</v>
      </c>
      <c r="E12" s="60">
        <v>1115</v>
      </c>
      <c r="F12" s="96" t="s">
        <v>540</v>
      </c>
      <c r="G12" s="61" t="s">
        <v>535</v>
      </c>
      <c r="H12" s="62" t="s">
        <v>535</v>
      </c>
      <c r="I12" s="62" t="s">
        <v>535</v>
      </c>
      <c r="J12" s="62" t="s">
        <v>535</v>
      </c>
    </row>
    <row r="13" spans="1:10" ht="13.5" customHeight="1">
      <c r="A13" s="63">
        <v>1</v>
      </c>
      <c r="B13" s="93">
        <v>1</v>
      </c>
      <c r="C13" s="63">
        <v>1</v>
      </c>
      <c r="D13" s="63">
        <v>9</v>
      </c>
      <c r="E13" s="64">
        <v>1119</v>
      </c>
      <c r="F13" s="98" t="s">
        <v>541</v>
      </c>
      <c r="G13" s="65" t="s">
        <v>535</v>
      </c>
      <c r="H13" s="66" t="s">
        <v>535</v>
      </c>
      <c r="I13" s="66" t="s">
        <v>535</v>
      </c>
      <c r="J13" s="66" t="s">
        <v>535</v>
      </c>
    </row>
    <row r="14" spans="1:10" ht="13.5" customHeight="1">
      <c r="A14" s="52">
        <v>1</v>
      </c>
      <c r="B14" s="89">
        <v>1</v>
      </c>
      <c r="C14" s="52">
        <v>2</v>
      </c>
      <c r="D14" s="52">
        <v>0</v>
      </c>
      <c r="E14" s="52">
        <v>1120</v>
      </c>
      <c r="F14" s="97" t="s">
        <v>542</v>
      </c>
      <c r="G14" s="53" t="s">
        <v>535</v>
      </c>
      <c r="H14" s="54" t="s">
        <v>535</v>
      </c>
      <c r="I14" s="54" t="s">
        <v>535</v>
      </c>
      <c r="J14" s="54" t="s">
        <v>535</v>
      </c>
    </row>
    <row r="15" spans="1:10" ht="13.5" customHeight="1">
      <c r="A15" s="55">
        <v>1</v>
      </c>
      <c r="B15" s="91">
        <v>1</v>
      </c>
      <c r="C15" s="55">
        <v>2</v>
      </c>
      <c r="D15" s="55">
        <v>1</v>
      </c>
      <c r="E15" s="56">
        <v>1121</v>
      </c>
      <c r="F15" s="95" t="s">
        <v>543</v>
      </c>
      <c r="G15" s="57" t="s">
        <v>535</v>
      </c>
      <c r="H15" s="58" t="s">
        <v>535</v>
      </c>
      <c r="I15" s="58" t="s">
        <v>535</v>
      </c>
      <c r="J15" s="58" t="s">
        <v>535</v>
      </c>
    </row>
    <row r="16" spans="1:10" ht="13.5" customHeight="1">
      <c r="A16" s="59">
        <v>1</v>
      </c>
      <c r="B16" s="92">
        <v>1</v>
      </c>
      <c r="C16" s="59">
        <v>2</v>
      </c>
      <c r="D16" s="59">
        <v>2</v>
      </c>
      <c r="E16" s="60">
        <v>1122</v>
      </c>
      <c r="F16" s="96" t="s">
        <v>544</v>
      </c>
      <c r="G16" s="61" t="s">
        <v>535</v>
      </c>
      <c r="H16" s="62" t="s">
        <v>535</v>
      </c>
      <c r="I16" s="62" t="s">
        <v>535</v>
      </c>
      <c r="J16" s="62" t="s">
        <v>535</v>
      </c>
    </row>
    <row r="17" spans="1:10" ht="13.5" customHeight="1">
      <c r="A17" s="59">
        <v>1</v>
      </c>
      <c r="B17" s="92">
        <v>1</v>
      </c>
      <c r="C17" s="59">
        <v>2</v>
      </c>
      <c r="D17" s="59">
        <v>3</v>
      </c>
      <c r="E17" s="60">
        <v>1123</v>
      </c>
      <c r="F17" s="96" t="s">
        <v>545</v>
      </c>
      <c r="G17" s="61" t="s">
        <v>535</v>
      </c>
      <c r="H17" s="62" t="s">
        <v>535</v>
      </c>
      <c r="I17" s="62" t="s">
        <v>535</v>
      </c>
      <c r="J17" s="62" t="s">
        <v>535</v>
      </c>
    </row>
    <row r="18" spans="1:10" ht="13.5" customHeight="1">
      <c r="A18" s="59">
        <v>1</v>
      </c>
      <c r="B18" s="92">
        <v>1</v>
      </c>
      <c r="C18" s="59">
        <v>2</v>
      </c>
      <c r="D18" s="59">
        <v>4</v>
      </c>
      <c r="E18" s="60">
        <v>1124</v>
      </c>
      <c r="F18" s="96" t="s">
        <v>546</v>
      </c>
      <c r="G18" s="61" t="s">
        <v>535</v>
      </c>
      <c r="H18" s="62" t="s">
        <v>535</v>
      </c>
      <c r="I18" s="62" t="s">
        <v>535</v>
      </c>
      <c r="J18" s="62" t="s">
        <v>535</v>
      </c>
    </row>
    <row r="19" spans="1:10" ht="13.5" customHeight="1">
      <c r="A19" s="59">
        <v>1</v>
      </c>
      <c r="B19" s="93">
        <v>1</v>
      </c>
      <c r="C19" s="59">
        <v>2</v>
      </c>
      <c r="D19" s="59">
        <v>5</v>
      </c>
      <c r="E19" s="60">
        <v>1125</v>
      </c>
      <c r="F19" s="96" t="s">
        <v>547</v>
      </c>
      <c r="G19" s="65" t="s">
        <v>535</v>
      </c>
      <c r="H19" s="62" t="s">
        <v>535</v>
      </c>
      <c r="I19" s="62" t="s">
        <v>535</v>
      </c>
      <c r="J19" s="62" t="s">
        <v>535</v>
      </c>
    </row>
    <row r="20" spans="1:10" ht="13.5" customHeight="1">
      <c r="A20" s="52">
        <v>1</v>
      </c>
      <c r="B20" s="89">
        <v>1</v>
      </c>
      <c r="C20" s="52">
        <v>3</v>
      </c>
      <c r="D20" s="52">
        <v>0</v>
      </c>
      <c r="E20" s="52">
        <v>1130</v>
      </c>
      <c r="F20" s="97" t="s">
        <v>548</v>
      </c>
      <c r="G20" s="53" t="s">
        <v>549</v>
      </c>
      <c r="H20" s="54" t="s">
        <v>549</v>
      </c>
      <c r="I20" s="54" t="s">
        <v>549</v>
      </c>
      <c r="J20" s="54" t="s">
        <v>549</v>
      </c>
    </row>
    <row r="21" spans="1:10" ht="13.5" customHeight="1">
      <c r="A21" s="55">
        <v>1</v>
      </c>
      <c r="B21" s="91">
        <v>1</v>
      </c>
      <c r="C21" s="55">
        <v>3</v>
      </c>
      <c r="D21" s="55">
        <v>1</v>
      </c>
      <c r="E21" s="56">
        <v>1131</v>
      </c>
      <c r="F21" s="95" t="s">
        <v>550</v>
      </c>
      <c r="G21" s="57" t="s">
        <v>535</v>
      </c>
      <c r="H21" s="58" t="s">
        <v>535</v>
      </c>
      <c r="I21" s="58" t="s">
        <v>535</v>
      </c>
      <c r="J21" s="58" t="s">
        <v>535</v>
      </c>
    </row>
    <row r="22" spans="1:10" ht="13.5" customHeight="1">
      <c r="A22" s="59">
        <v>1</v>
      </c>
      <c r="B22" s="92">
        <v>1</v>
      </c>
      <c r="C22" s="59">
        <v>3</v>
      </c>
      <c r="D22" s="59">
        <v>2</v>
      </c>
      <c r="E22" s="60">
        <v>1132</v>
      </c>
      <c r="F22" s="96" t="s">
        <v>551</v>
      </c>
      <c r="G22" s="61" t="s">
        <v>535</v>
      </c>
      <c r="H22" s="62" t="s">
        <v>535</v>
      </c>
      <c r="I22" s="62" t="s">
        <v>535</v>
      </c>
      <c r="J22" s="62" t="s">
        <v>535</v>
      </c>
    </row>
    <row r="23" spans="1:10" ht="13.5" customHeight="1">
      <c r="A23" s="59">
        <v>1</v>
      </c>
      <c r="B23" s="92">
        <v>1</v>
      </c>
      <c r="C23" s="59">
        <v>3</v>
      </c>
      <c r="D23" s="59">
        <v>3</v>
      </c>
      <c r="E23" s="60">
        <v>1133</v>
      </c>
      <c r="F23" s="96" t="s">
        <v>552</v>
      </c>
      <c r="G23" s="61" t="s">
        <v>553</v>
      </c>
      <c r="H23" s="62" t="s">
        <v>553</v>
      </c>
      <c r="I23" s="62" t="s">
        <v>553</v>
      </c>
      <c r="J23" s="62" t="s">
        <v>553</v>
      </c>
    </row>
    <row r="24" spans="1:10" ht="13.5" customHeight="1">
      <c r="A24" s="59">
        <v>1</v>
      </c>
      <c r="B24" s="92">
        <v>1</v>
      </c>
      <c r="C24" s="59">
        <v>3</v>
      </c>
      <c r="D24" s="59">
        <v>4</v>
      </c>
      <c r="E24" s="60">
        <v>1134</v>
      </c>
      <c r="F24" s="96" t="s">
        <v>554</v>
      </c>
      <c r="G24" s="61" t="s">
        <v>555</v>
      </c>
      <c r="H24" s="62" t="s">
        <v>555</v>
      </c>
      <c r="I24" s="62" t="s">
        <v>555</v>
      </c>
      <c r="J24" s="62" t="s">
        <v>555</v>
      </c>
    </row>
    <row r="25" spans="1:10" ht="13.5" customHeight="1">
      <c r="A25" s="59">
        <v>1</v>
      </c>
      <c r="B25" s="92">
        <v>1</v>
      </c>
      <c r="C25" s="59">
        <v>3</v>
      </c>
      <c r="D25" s="59">
        <v>7</v>
      </c>
      <c r="E25" s="60">
        <v>1137</v>
      </c>
      <c r="F25" s="96" t="s">
        <v>556</v>
      </c>
      <c r="G25" s="61" t="s">
        <v>535</v>
      </c>
      <c r="H25" s="62" t="s">
        <v>535</v>
      </c>
      <c r="I25" s="62" t="s">
        <v>535</v>
      </c>
      <c r="J25" s="62" t="s">
        <v>535</v>
      </c>
    </row>
    <row r="26" spans="1:10" ht="13.5" customHeight="1">
      <c r="A26" s="63">
        <v>1</v>
      </c>
      <c r="B26" s="93">
        <v>1</v>
      </c>
      <c r="C26" s="63">
        <v>3</v>
      </c>
      <c r="D26" s="63">
        <v>9</v>
      </c>
      <c r="E26" s="64">
        <v>1139</v>
      </c>
      <c r="F26" s="98" t="s">
        <v>541</v>
      </c>
      <c r="G26" s="65" t="s">
        <v>557</v>
      </c>
      <c r="H26" s="66" t="s">
        <v>557</v>
      </c>
      <c r="I26" s="66" t="s">
        <v>557</v>
      </c>
      <c r="J26" s="66" t="s">
        <v>557</v>
      </c>
    </row>
    <row r="27" spans="1:10" ht="13.5" customHeight="1">
      <c r="A27" s="52">
        <v>1</v>
      </c>
      <c r="B27" s="89">
        <v>1</v>
      </c>
      <c r="C27" s="52">
        <v>8</v>
      </c>
      <c r="D27" s="52">
        <v>0</v>
      </c>
      <c r="E27" s="52">
        <v>1180</v>
      </c>
      <c r="F27" s="97" t="s">
        <v>558</v>
      </c>
      <c r="G27" s="53" t="s">
        <v>553</v>
      </c>
      <c r="H27" s="54" t="s">
        <v>553</v>
      </c>
      <c r="I27" s="54" t="s">
        <v>553</v>
      </c>
      <c r="J27" s="54" t="s">
        <v>553</v>
      </c>
    </row>
    <row r="28" spans="1:10" ht="13.5" customHeight="1">
      <c r="A28" s="55">
        <v>1</v>
      </c>
      <c r="B28" s="91">
        <v>1</v>
      </c>
      <c r="C28" s="55">
        <v>8</v>
      </c>
      <c r="D28" s="55">
        <v>1</v>
      </c>
      <c r="E28" s="56">
        <v>1181</v>
      </c>
      <c r="F28" s="95" t="s">
        <v>559</v>
      </c>
      <c r="G28" s="57" t="s">
        <v>553</v>
      </c>
      <c r="H28" s="58" t="s">
        <v>553</v>
      </c>
      <c r="I28" s="58" t="s">
        <v>553</v>
      </c>
      <c r="J28" s="58" t="s">
        <v>553</v>
      </c>
    </row>
    <row r="29" spans="1:10" ht="13.5" customHeight="1">
      <c r="A29" s="59">
        <v>1</v>
      </c>
      <c r="B29" s="92">
        <v>1</v>
      </c>
      <c r="C29" s="59">
        <v>8</v>
      </c>
      <c r="D29" s="59">
        <v>2</v>
      </c>
      <c r="E29" s="60">
        <v>1182</v>
      </c>
      <c r="F29" s="96" t="s">
        <v>560</v>
      </c>
      <c r="G29" s="61" t="s">
        <v>553</v>
      </c>
      <c r="H29" s="62" t="s">
        <v>553</v>
      </c>
      <c r="I29" s="62" t="s">
        <v>553</v>
      </c>
      <c r="J29" s="62" t="s">
        <v>553</v>
      </c>
    </row>
    <row r="30" spans="1:10" ht="13.5" customHeight="1">
      <c r="A30" s="59">
        <v>1</v>
      </c>
      <c r="B30" s="92">
        <v>1</v>
      </c>
      <c r="C30" s="59">
        <v>8</v>
      </c>
      <c r="D30" s="59">
        <v>3</v>
      </c>
      <c r="E30" s="60">
        <v>1183</v>
      </c>
      <c r="F30" s="96" t="s">
        <v>561</v>
      </c>
      <c r="G30" s="61" t="s">
        <v>553</v>
      </c>
      <c r="H30" s="62" t="s">
        <v>553</v>
      </c>
      <c r="I30" s="62" t="s">
        <v>553</v>
      </c>
      <c r="J30" s="62" t="s">
        <v>553</v>
      </c>
    </row>
    <row r="31" spans="1:10" ht="13.5" customHeight="1">
      <c r="A31" s="59">
        <v>1</v>
      </c>
      <c r="B31" s="92">
        <v>1</v>
      </c>
      <c r="C31" s="59">
        <v>8</v>
      </c>
      <c r="D31" s="59">
        <v>4</v>
      </c>
      <c r="E31" s="60">
        <v>1184</v>
      </c>
      <c r="F31" s="96" t="s">
        <v>562</v>
      </c>
      <c r="G31" s="61" t="s">
        <v>553</v>
      </c>
      <c r="H31" s="62" t="s">
        <v>553</v>
      </c>
      <c r="I31" s="62" t="s">
        <v>553</v>
      </c>
      <c r="J31" s="62" t="s">
        <v>553</v>
      </c>
    </row>
    <row r="32" spans="1:10" ht="13.5" customHeight="1">
      <c r="A32" s="59">
        <v>1</v>
      </c>
      <c r="B32" s="92">
        <v>1</v>
      </c>
      <c r="C32" s="59">
        <v>8</v>
      </c>
      <c r="D32" s="59">
        <v>5</v>
      </c>
      <c r="E32" s="60">
        <v>1185</v>
      </c>
      <c r="F32" s="96" t="s">
        <v>563</v>
      </c>
      <c r="G32" s="61" t="s">
        <v>553</v>
      </c>
      <c r="H32" s="62" t="s">
        <v>553</v>
      </c>
      <c r="I32" s="62" t="s">
        <v>553</v>
      </c>
      <c r="J32" s="62" t="s">
        <v>553</v>
      </c>
    </row>
    <row r="33" spans="1:10" ht="13.5" customHeight="1">
      <c r="A33" s="59">
        <v>1</v>
      </c>
      <c r="B33" s="92">
        <v>1</v>
      </c>
      <c r="C33" s="59">
        <v>8</v>
      </c>
      <c r="D33" s="59">
        <v>6</v>
      </c>
      <c r="E33" s="60">
        <v>1186</v>
      </c>
      <c r="F33" s="96" t="s">
        <v>564</v>
      </c>
      <c r="G33" s="61" t="s">
        <v>553</v>
      </c>
      <c r="H33" s="62" t="s">
        <v>553</v>
      </c>
      <c r="I33" s="62" t="s">
        <v>553</v>
      </c>
      <c r="J33" s="62" t="s">
        <v>553</v>
      </c>
    </row>
    <row r="34" spans="1:10" ht="13.5" customHeight="1">
      <c r="A34" s="59">
        <v>1</v>
      </c>
      <c r="B34" s="92">
        <v>1</v>
      </c>
      <c r="C34" s="59">
        <v>8</v>
      </c>
      <c r="D34" s="59">
        <v>7</v>
      </c>
      <c r="E34" s="60">
        <v>1187</v>
      </c>
      <c r="F34" s="96" t="s">
        <v>565</v>
      </c>
      <c r="G34" s="61" t="s">
        <v>553</v>
      </c>
      <c r="H34" s="62" t="s">
        <v>553</v>
      </c>
      <c r="I34" s="62" t="s">
        <v>553</v>
      </c>
      <c r="J34" s="62" t="s">
        <v>553</v>
      </c>
    </row>
    <row r="35" spans="1:10" ht="13.5" customHeight="1">
      <c r="A35" s="59">
        <v>1</v>
      </c>
      <c r="B35" s="92">
        <v>1</v>
      </c>
      <c r="C35" s="59">
        <v>8</v>
      </c>
      <c r="D35" s="59">
        <v>8</v>
      </c>
      <c r="E35" s="60">
        <v>1188</v>
      </c>
      <c r="F35" s="96" t="s">
        <v>566</v>
      </c>
      <c r="G35" s="61" t="s">
        <v>553</v>
      </c>
      <c r="H35" s="62" t="s">
        <v>553</v>
      </c>
      <c r="I35" s="62" t="s">
        <v>553</v>
      </c>
      <c r="J35" s="62" t="s">
        <v>553</v>
      </c>
    </row>
    <row r="36" spans="1:10" ht="13.5" customHeight="1">
      <c r="A36" s="63">
        <v>1</v>
      </c>
      <c r="B36" s="93">
        <v>1</v>
      </c>
      <c r="C36" s="63">
        <v>8</v>
      </c>
      <c r="D36" s="63">
        <v>9</v>
      </c>
      <c r="E36" s="64">
        <v>1189</v>
      </c>
      <c r="F36" s="98" t="s">
        <v>541</v>
      </c>
      <c r="G36" s="65" t="s">
        <v>553</v>
      </c>
      <c r="H36" s="66" t="s">
        <v>553</v>
      </c>
      <c r="I36" s="66" t="s">
        <v>553</v>
      </c>
      <c r="J36" s="66" t="s">
        <v>553</v>
      </c>
    </row>
    <row r="37" spans="1:10" ht="13.5" customHeight="1">
      <c r="A37" s="46">
        <v>1</v>
      </c>
      <c r="B37" s="90">
        <v>2</v>
      </c>
      <c r="C37" s="46">
        <v>0</v>
      </c>
      <c r="D37" s="46">
        <v>0</v>
      </c>
      <c r="E37" s="46">
        <v>1200</v>
      </c>
      <c r="F37" s="99" t="s">
        <v>567</v>
      </c>
      <c r="G37" s="48" t="s">
        <v>531</v>
      </c>
      <c r="H37" s="49" t="s">
        <v>531</v>
      </c>
      <c r="I37" s="49" t="s">
        <v>531</v>
      </c>
      <c r="J37" s="49" t="s">
        <v>531</v>
      </c>
    </row>
    <row r="38" spans="1:10" ht="13.5" customHeight="1">
      <c r="A38" s="52">
        <v>1</v>
      </c>
      <c r="B38" s="89">
        <v>2</v>
      </c>
      <c r="C38" s="52">
        <v>1</v>
      </c>
      <c r="D38" s="52">
        <v>0</v>
      </c>
      <c r="E38" s="52">
        <v>1210</v>
      </c>
      <c r="F38" s="97" t="s">
        <v>568</v>
      </c>
      <c r="G38" s="53" t="s">
        <v>531</v>
      </c>
      <c r="H38" s="54" t="s">
        <v>531</v>
      </c>
      <c r="I38" s="54" t="s">
        <v>531</v>
      </c>
      <c r="J38" s="54" t="s">
        <v>531</v>
      </c>
    </row>
    <row r="39" spans="1:10" ht="13.5" customHeight="1">
      <c r="A39" s="55">
        <v>1</v>
      </c>
      <c r="B39" s="91">
        <v>2</v>
      </c>
      <c r="C39" s="55">
        <v>1</v>
      </c>
      <c r="D39" s="55">
        <v>1</v>
      </c>
      <c r="E39" s="56">
        <v>1211</v>
      </c>
      <c r="F39" s="95" t="s">
        <v>569</v>
      </c>
      <c r="G39" s="57" t="s">
        <v>553</v>
      </c>
      <c r="H39" s="58" t="s">
        <v>553</v>
      </c>
      <c r="I39" s="58" t="s">
        <v>553</v>
      </c>
      <c r="J39" s="58" t="s">
        <v>553</v>
      </c>
    </row>
    <row r="40" spans="1:10" ht="13.5" customHeight="1">
      <c r="A40" s="59">
        <v>1</v>
      </c>
      <c r="B40" s="92">
        <v>2</v>
      </c>
      <c r="C40" s="59">
        <v>1</v>
      </c>
      <c r="D40" s="59">
        <v>2</v>
      </c>
      <c r="E40" s="60">
        <v>1212</v>
      </c>
      <c r="F40" s="96" t="s">
        <v>570</v>
      </c>
      <c r="G40" s="61" t="s">
        <v>553</v>
      </c>
      <c r="H40" s="62" t="s">
        <v>553</v>
      </c>
      <c r="I40" s="62" t="s">
        <v>553</v>
      </c>
      <c r="J40" s="62" t="s">
        <v>553</v>
      </c>
    </row>
    <row r="41" spans="1:10" ht="13.5" customHeight="1">
      <c r="A41" s="59">
        <v>1</v>
      </c>
      <c r="B41" s="92">
        <v>2</v>
      </c>
      <c r="C41" s="59">
        <v>1</v>
      </c>
      <c r="D41" s="59">
        <v>3</v>
      </c>
      <c r="E41" s="60">
        <v>1213</v>
      </c>
      <c r="F41" s="96" t="s">
        <v>571</v>
      </c>
      <c r="G41" s="61" t="s">
        <v>553</v>
      </c>
      <c r="H41" s="62" t="s">
        <v>553</v>
      </c>
      <c r="I41" s="62" t="s">
        <v>553</v>
      </c>
      <c r="J41" s="62" t="s">
        <v>553</v>
      </c>
    </row>
    <row r="42" spans="1:10" ht="13.5" customHeight="1">
      <c r="A42" s="59">
        <v>1</v>
      </c>
      <c r="B42" s="93">
        <v>2</v>
      </c>
      <c r="C42" s="59">
        <v>1</v>
      </c>
      <c r="D42" s="59">
        <v>4</v>
      </c>
      <c r="E42" s="60">
        <v>1214</v>
      </c>
      <c r="F42" s="96" t="s">
        <v>572</v>
      </c>
      <c r="G42" s="61" t="s">
        <v>535</v>
      </c>
      <c r="H42" s="62" t="s">
        <v>535</v>
      </c>
      <c r="I42" s="62" t="s">
        <v>535</v>
      </c>
      <c r="J42" s="62" t="s">
        <v>535</v>
      </c>
    </row>
    <row r="43" spans="1:10" ht="13.5" customHeight="1">
      <c r="A43" s="52">
        <v>1</v>
      </c>
      <c r="B43" s="89">
        <v>2</v>
      </c>
      <c r="C43" s="52">
        <v>2</v>
      </c>
      <c r="D43" s="52">
        <v>0</v>
      </c>
      <c r="E43" s="52">
        <v>1220</v>
      </c>
      <c r="F43" s="97" t="s">
        <v>573</v>
      </c>
      <c r="G43" s="53" t="s">
        <v>553</v>
      </c>
      <c r="H43" s="54" t="s">
        <v>553</v>
      </c>
      <c r="I43" s="54" t="s">
        <v>553</v>
      </c>
      <c r="J43" s="54" t="s">
        <v>553</v>
      </c>
    </row>
    <row r="44" spans="1:10" ht="13.5" customHeight="1">
      <c r="A44" s="55">
        <v>1</v>
      </c>
      <c r="B44" s="91">
        <v>2</v>
      </c>
      <c r="C44" s="55">
        <v>2</v>
      </c>
      <c r="D44" s="55">
        <v>1</v>
      </c>
      <c r="E44" s="56">
        <v>1221</v>
      </c>
      <c r="F44" s="95" t="s">
        <v>574</v>
      </c>
      <c r="G44" s="57" t="s">
        <v>553</v>
      </c>
      <c r="H44" s="58" t="s">
        <v>553</v>
      </c>
      <c r="I44" s="58" t="s">
        <v>553</v>
      </c>
      <c r="J44" s="58" t="s">
        <v>553</v>
      </c>
    </row>
    <row r="45" spans="1:10" ht="13.5" customHeight="1">
      <c r="A45" s="59">
        <v>1</v>
      </c>
      <c r="B45" s="93">
        <v>2</v>
      </c>
      <c r="C45" s="59">
        <v>2</v>
      </c>
      <c r="D45" s="59">
        <v>2</v>
      </c>
      <c r="E45" s="60">
        <v>1222</v>
      </c>
      <c r="F45" s="96" t="s">
        <v>575</v>
      </c>
      <c r="G45" s="61" t="s">
        <v>553</v>
      </c>
      <c r="H45" s="62" t="s">
        <v>553</v>
      </c>
      <c r="I45" s="62" t="s">
        <v>553</v>
      </c>
      <c r="J45" s="62" t="s">
        <v>553</v>
      </c>
    </row>
    <row r="46" spans="1:10" ht="13.5" customHeight="1">
      <c r="A46" s="52">
        <v>1</v>
      </c>
      <c r="B46" s="89">
        <v>2</v>
      </c>
      <c r="C46" s="52">
        <v>3</v>
      </c>
      <c r="D46" s="52">
        <v>0</v>
      </c>
      <c r="E46" s="52">
        <v>1230</v>
      </c>
      <c r="F46" s="97" t="s">
        <v>576</v>
      </c>
      <c r="G46" s="53" t="s">
        <v>553</v>
      </c>
      <c r="H46" s="54" t="s">
        <v>553</v>
      </c>
      <c r="I46" s="54" t="s">
        <v>553</v>
      </c>
      <c r="J46" s="54" t="s">
        <v>553</v>
      </c>
    </row>
    <row r="47" spans="1:10" ht="13.5" customHeight="1">
      <c r="A47" s="55">
        <v>1</v>
      </c>
      <c r="B47" s="91">
        <v>2</v>
      </c>
      <c r="C47" s="55">
        <v>3</v>
      </c>
      <c r="D47" s="55">
        <v>1</v>
      </c>
      <c r="E47" s="56">
        <v>1231</v>
      </c>
      <c r="F47" s="95" t="s">
        <v>577</v>
      </c>
      <c r="G47" s="67" t="s">
        <v>553</v>
      </c>
      <c r="H47" s="58" t="s">
        <v>553</v>
      </c>
      <c r="I47" s="58" t="s">
        <v>553</v>
      </c>
      <c r="J47" s="58" t="s">
        <v>553</v>
      </c>
    </row>
    <row r="48" spans="1:10" ht="13.5" customHeight="1">
      <c r="A48" s="59">
        <v>1</v>
      </c>
      <c r="B48" s="92">
        <v>2</v>
      </c>
      <c r="C48" s="59">
        <v>3</v>
      </c>
      <c r="D48" s="59">
        <v>2</v>
      </c>
      <c r="E48" s="60">
        <v>1232</v>
      </c>
      <c r="F48" s="96" t="s">
        <v>578</v>
      </c>
      <c r="G48" s="61" t="s">
        <v>553</v>
      </c>
      <c r="H48" s="62" t="s">
        <v>553</v>
      </c>
      <c r="I48" s="62" t="s">
        <v>553</v>
      </c>
      <c r="J48" s="62" t="s">
        <v>553</v>
      </c>
    </row>
    <row r="49" spans="1:10" ht="13.5" customHeight="1">
      <c r="A49" s="63">
        <v>1</v>
      </c>
      <c r="B49" s="93">
        <v>2</v>
      </c>
      <c r="C49" s="63">
        <v>3</v>
      </c>
      <c r="D49" s="63">
        <v>9</v>
      </c>
      <c r="E49" s="64">
        <v>1239</v>
      </c>
      <c r="F49" s="98" t="s">
        <v>541</v>
      </c>
      <c r="G49" s="65" t="s">
        <v>553</v>
      </c>
      <c r="H49" s="66" t="s">
        <v>553</v>
      </c>
      <c r="I49" s="66" t="s">
        <v>553</v>
      </c>
      <c r="J49" s="66" t="s">
        <v>553</v>
      </c>
    </row>
    <row r="50" spans="1:10" ht="13.5" customHeight="1">
      <c r="A50" s="52">
        <v>1</v>
      </c>
      <c r="B50" s="89">
        <v>2</v>
      </c>
      <c r="C50" s="52">
        <v>4</v>
      </c>
      <c r="D50" s="52">
        <v>0</v>
      </c>
      <c r="E50" s="52">
        <v>1240</v>
      </c>
      <c r="F50" s="97" t="s">
        <v>579</v>
      </c>
      <c r="G50" s="53" t="s">
        <v>553</v>
      </c>
      <c r="H50" s="54" t="s">
        <v>553</v>
      </c>
      <c r="I50" s="54" t="s">
        <v>553</v>
      </c>
      <c r="J50" s="54" t="s">
        <v>553</v>
      </c>
    </row>
    <row r="51" spans="1:10" ht="13.5" customHeight="1">
      <c r="A51" s="55">
        <v>1</v>
      </c>
      <c r="B51" s="91">
        <v>2</v>
      </c>
      <c r="C51" s="55">
        <v>4</v>
      </c>
      <c r="D51" s="55">
        <v>1</v>
      </c>
      <c r="E51" s="56">
        <v>1241</v>
      </c>
      <c r="F51" s="95" t="s">
        <v>580</v>
      </c>
      <c r="G51" s="57" t="s">
        <v>553</v>
      </c>
      <c r="H51" s="58" t="s">
        <v>553</v>
      </c>
      <c r="I51" s="58" t="s">
        <v>553</v>
      </c>
      <c r="J51" s="58" t="s">
        <v>553</v>
      </c>
    </row>
    <row r="52" spans="1:10" ht="13.5" customHeight="1">
      <c r="A52" s="59">
        <v>1</v>
      </c>
      <c r="B52" s="92">
        <v>2</v>
      </c>
      <c r="C52" s="59">
        <v>4</v>
      </c>
      <c r="D52" s="59">
        <v>2</v>
      </c>
      <c r="E52" s="60">
        <v>1242</v>
      </c>
      <c r="F52" s="96" t="s">
        <v>581</v>
      </c>
      <c r="G52" s="61" t="s">
        <v>553</v>
      </c>
      <c r="H52" s="62" t="s">
        <v>553</v>
      </c>
      <c r="I52" s="62" t="s">
        <v>553</v>
      </c>
      <c r="J52" s="62" t="s">
        <v>553</v>
      </c>
    </row>
    <row r="53" spans="1:10" ht="13.5" customHeight="1">
      <c r="A53" s="59">
        <v>1</v>
      </c>
      <c r="B53" s="92">
        <v>2</v>
      </c>
      <c r="C53" s="59">
        <v>4</v>
      </c>
      <c r="D53" s="59">
        <v>3</v>
      </c>
      <c r="E53" s="60">
        <v>1243</v>
      </c>
      <c r="F53" s="96" t="s">
        <v>582</v>
      </c>
      <c r="G53" s="61" t="s">
        <v>553</v>
      </c>
      <c r="H53" s="62" t="s">
        <v>553</v>
      </c>
      <c r="I53" s="62" t="s">
        <v>553</v>
      </c>
      <c r="J53" s="62" t="s">
        <v>553</v>
      </c>
    </row>
    <row r="54" spans="1:10" ht="13.5" customHeight="1">
      <c r="A54" s="59">
        <v>1</v>
      </c>
      <c r="B54" s="92">
        <v>2</v>
      </c>
      <c r="C54" s="59">
        <v>4</v>
      </c>
      <c r="D54" s="59">
        <v>4</v>
      </c>
      <c r="E54" s="60">
        <v>1244</v>
      </c>
      <c r="F54" s="96" t="s">
        <v>583</v>
      </c>
      <c r="G54" s="61" t="s">
        <v>553</v>
      </c>
      <c r="H54" s="62" t="s">
        <v>553</v>
      </c>
      <c r="I54" s="62" t="s">
        <v>553</v>
      </c>
      <c r="J54" s="62" t="s">
        <v>553</v>
      </c>
    </row>
    <row r="55" spans="1:10" ht="13.5" customHeight="1">
      <c r="A55" s="59">
        <v>1</v>
      </c>
      <c r="B55" s="92">
        <v>2</v>
      </c>
      <c r="C55" s="59">
        <v>4</v>
      </c>
      <c r="D55" s="59">
        <v>5</v>
      </c>
      <c r="E55" s="60">
        <v>1245</v>
      </c>
      <c r="F55" s="96" t="s">
        <v>566</v>
      </c>
      <c r="G55" s="61" t="s">
        <v>553</v>
      </c>
      <c r="H55" s="62" t="s">
        <v>553</v>
      </c>
      <c r="I55" s="62" t="s">
        <v>553</v>
      </c>
      <c r="J55" s="62" t="s">
        <v>553</v>
      </c>
    </row>
    <row r="56" spans="1:10" ht="13.5" customHeight="1">
      <c r="A56" s="59">
        <v>1</v>
      </c>
      <c r="B56" s="92">
        <v>2</v>
      </c>
      <c r="C56" s="59">
        <v>4</v>
      </c>
      <c r="D56" s="59">
        <v>6</v>
      </c>
      <c r="E56" s="60">
        <v>1246</v>
      </c>
      <c r="F56" s="96" t="s">
        <v>584</v>
      </c>
      <c r="G56" s="61" t="s">
        <v>553</v>
      </c>
      <c r="H56" s="62" t="s">
        <v>553</v>
      </c>
      <c r="I56" s="62" t="s">
        <v>553</v>
      </c>
      <c r="J56" s="62" t="s">
        <v>553</v>
      </c>
    </row>
    <row r="57" spans="1:10" ht="13.5" customHeight="1">
      <c r="A57" s="59">
        <v>1</v>
      </c>
      <c r="B57" s="92">
        <v>2</v>
      </c>
      <c r="C57" s="59">
        <v>4</v>
      </c>
      <c r="D57" s="59">
        <v>7</v>
      </c>
      <c r="E57" s="60">
        <v>1247</v>
      </c>
      <c r="F57" s="96" t="s">
        <v>585</v>
      </c>
      <c r="G57" s="61" t="s">
        <v>553</v>
      </c>
      <c r="H57" s="62" t="s">
        <v>553</v>
      </c>
      <c r="I57" s="62" t="s">
        <v>553</v>
      </c>
      <c r="J57" s="62" t="s">
        <v>553</v>
      </c>
    </row>
    <row r="58" spans="1:10" ht="13.5" customHeight="1">
      <c r="A58" s="59">
        <v>1</v>
      </c>
      <c r="B58" s="92">
        <v>2</v>
      </c>
      <c r="C58" s="59">
        <v>4</v>
      </c>
      <c r="D58" s="59">
        <v>8</v>
      </c>
      <c r="E58" s="60">
        <v>1248</v>
      </c>
      <c r="F58" s="96" t="s">
        <v>586</v>
      </c>
      <c r="G58" s="61" t="s">
        <v>553</v>
      </c>
      <c r="H58" s="62" t="s">
        <v>553</v>
      </c>
      <c r="I58" s="62" t="s">
        <v>553</v>
      </c>
      <c r="J58" s="62" t="s">
        <v>553</v>
      </c>
    </row>
    <row r="59" spans="1:10" ht="13.5" customHeight="1">
      <c r="A59" s="63">
        <v>1</v>
      </c>
      <c r="B59" s="93">
        <v>2</v>
      </c>
      <c r="C59" s="63">
        <v>4</v>
      </c>
      <c r="D59" s="63">
        <v>9</v>
      </c>
      <c r="E59" s="64">
        <v>1249</v>
      </c>
      <c r="F59" s="98" t="s">
        <v>541</v>
      </c>
      <c r="G59" s="65" t="s">
        <v>553</v>
      </c>
      <c r="H59" s="66" t="s">
        <v>553</v>
      </c>
      <c r="I59" s="66" t="s">
        <v>553</v>
      </c>
      <c r="J59" s="66" t="s">
        <v>553</v>
      </c>
    </row>
    <row r="60" spans="1:10" ht="13.5" customHeight="1">
      <c r="A60" s="52">
        <v>1</v>
      </c>
      <c r="B60" s="89">
        <v>2</v>
      </c>
      <c r="C60" s="52">
        <v>5</v>
      </c>
      <c r="D60" s="52">
        <v>0</v>
      </c>
      <c r="E60" s="52">
        <v>1250</v>
      </c>
      <c r="F60" s="97" t="s">
        <v>587</v>
      </c>
      <c r="G60" s="53" t="s">
        <v>553</v>
      </c>
      <c r="H60" s="54" t="s">
        <v>553</v>
      </c>
      <c r="I60" s="54" t="s">
        <v>553</v>
      </c>
      <c r="J60" s="54" t="s">
        <v>553</v>
      </c>
    </row>
    <row r="61" spans="1:10" ht="13.5" customHeight="1">
      <c r="A61" s="55">
        <v>1</v>
      </c>
      <c r="B61" s="91">
        <v>2</v>
      </c>
      <c r="C61" s="55">
        <v>5</v>
      </c>
      <c r="D61" s="55">
        <v>1</v>
      </c>
      <c r="E61" s="56">
        <v>1251</v>
      </c>
      <c r="F61" s="95" t="s">
        <v>580</v>
      </c>
      <c r="G61" s="57" t="s">
        <v>553</v>
      </c>
      <c r="H61" s="58" t="s">
        <v>553</v>
      </c>
      <c r="I61" s="58" t="s">
        <v>553</v>
      </c>
      <c r="J61" s="58" t="s">
        <v>553</v>
      </c>
    </row>
    <row r="62" spans="1:10" ht="13.5" customHeight="1">
      <c r="A62" s="59">
        <v>1</v>
      </c>
      <c r="B62" s="92">
        <v>2</v>
      </c>
      <c r="C62" s="59">
        <v>5</v>
      </c>
      <c r="D62" s="59">
        <v>2</v>
      </c>
      <c r="E62" s="60">
        <v>1252</v>
      </c>
      <c r="F62" s="96" t="s">
        <v>588</v>
      </c>
      <c r="G62" s="61" t="s">
        <v>553</v>
      </c>
      <c r="H62" s="62" t="s">
        <v>553</v>
      </c>
      <c r="I62" s="62" t="s">
        <v>553</v>
      </c>
      <c r="J62" s="62" t="s">
        <v>553</v>
      </c>
    </row>
    <row r="63" spans="1:10" ht="13.5" customHeight="1">
      <c r="A63" s="59">
        <v>1</v>
      </c>
      <c r="B63" s="92">
        <v>2</v>
      </c>
      <c r="C63" s="59">
        <v>5</v>
      </c>
      <c r="D63" s="59">
        <v>3</v>
      </c>
      <c r="E63" s="60">
        <v>1253</v>
      </c>
      <c r="F63" s="96" t="s">
        <v>589</v>
      </c>
      <c r="G63" s="61" t="s">
        <v>553</v>
      </c>
      <c r="H63" s="62" t="s">
        <v>553</v>
      </c>
      <c r="I63" s="62" t="s">
        <v>553</v>
      </c>
      <c r="J63" s="62" t="s">
        <v>553</v>
      </c>
    </row>
    <row r="64" spans="1:10" ht="13.5" customHeight="1">
      <c r="A64" s="59">
        <v>1</v>
      </c>
      <c r="B64" s="92">
        <v>2</v>
      </c>
      <c r="C64" s="59">
        <v>5</v>
      </c>
      <c r="D64" s="59">
        <v>4</v>
      </c>
      <c r="E64" s="60">
        <v>1254</v>
      </c>
      <c r="F64" s="96" t="s">
        <v>583</v>
      </c>
      <c r="G64" s="61" t="s">
        <v>553</v>
      </c>
      <c r="H64" s="62" t="s">
        <v>553</v>
      </c>
      <c r="I64" s="62" t="s">
        <v>553</v>
      </c>
      <c r="J64" s="62" t="s">
        <v>553</v>
      </c>
    </row>
    <row r="65" spans="1:10" ht="13.5" customHeight="1">
      <c r="A65" s="59">
        <v>1</v>
      </c>
      <c r="B65" s="92">
        <v>2</v>
      </c>
      <c r="C65" s="59">
        <v>5</v>
      </c>
      <c r="D65" s="59">
        <v>5</v>
      </c>
      <c r="E65" s="60">
        <v>1255</v>
      </c>
      <c r="F65" s="96" t="s">
        <v>566</v>
      </c>
      <c r="G65" s="61" t="s">
        <v>553</v>
      </c>
      <c r="H65" s="62" t="s">
        <v>553</v>
      </c>
      <c r="I65" s="62" t="s">
        <v>553</v>
      </c>
      <c r="J65" s="62" t="s">
        <v>553</v>
      </c>
    </row>
    <row r="66" spans="1:10" ht="13.5" customHeight="1">
      <c r="A66" s="59">
        <v>1</v>
      </c>
      <c r="B66" s="92">
        <v>2</v>
      </c>
      <c r="C66" s="59">
        <v>5</v>
      </c>
      <c r="D66" s="59">
        <v>6</v>
      </c>
      <c r="E66" s="60">
        <v>1256</v>
      </c>
      <c r="F66" s="96" t="s">
        <v>584</v>
      </c>
      <c r="G66" s="61" t="s">
        <v>553</v>
      </c>
      <c r="H66" s="62" t="s">
        <v>553</v>
      </c>
      <c r="I66" s="62" t="s">
        <v>553</v>
      </c>
      <c r="J66" s="62" t="s">
        <v>553</v>
      </c>
    </row>
    <row r="67" spans="1:10" ht="13.5" customHeight="1">
      <c r="A67" s="59">
        <v>1</v>
      </c>
      <c r="B67" s="92">
        <v>2</v>
      </c>
      <c r="C67" s="59">
        <v>5</v>
      </c>
      <c r="D67" s="59">
        <v>8</v>
      </c>
      <c r="E67" s="60">
        <v>1258</v>
      </c>
      <c r="F67" s="96" t="s">
        <v>590</v>
      </c>
      <c r="G67" s="61" t="s">
        <v>553</v>
      </c>
      <c r="H67" s="62" t="s">
        <v>553</v>
      </c>
      <c r="I67" s="62" t="s">
        <v>553</v>
      </c>
      <c r="J67" s="62" t="s">
        <v>553</v>
      </c>
    </row>
    <row r="68" spans="1:10" ht="13.5" customHeight="1">
      <c r="A68" s="63">
        <v>1</v>
      </c>
      <c r="B68" s="93">
        <v>2</v>
      </c>
      <c r="C68" s="63">
        <v>5</v>
      </c>
      <c r="D68" s="63">
        <v>9</v>
      </c>
      <c r="E68" s="64">
        <v>1259</v>
      </c>
      <c r="F68" s="98" t="s">
        <v>541</v>
      </c>
      <c r="G68" s="65" t="s">
        <v>553</v>
      </c>
      <c r="H68" s="66" t="s">
        <v>553</v>
      </c>
      <c r="I68" s="66" t="s">
        <v>553</v>
      </c>
      <c r="J68" s="66" t="s">
        <v>553</v>
      </c>
    </row>
    <row r="69" spans="1:10" ht="13.5" customHeight="1">
      <c r="A69" s="52">
        <v>1</v>
      </c>
      <c r="B69" s="89">
        <v>2</v>
      </c>
      <c r="C69" s="52">
        <v>6</v>
      </c>
      <c r="D69" s="52">
        <v>0</v>
      </c>
      <c r="E69" s="52">
        <v>1260</v>
      </c>
      <c r="F69" s="97" t="s">
        <v>591</v>
      </c>
      <c r="G69" s="53" t="s">
        <v>553</v>
      </c>
      <c r="H69" s="54" t="s">
        <v>553</v>
      </c>
      <c r="I69" s="54" t="s">
        <v>553</v>
      </c>
      <c r="J69" s="54" t="s">
        <v>553</v>
      </c>
    </row>
    <row r="70" spans="1:10" ht="13.5" customHeight="1">
      <c r="A70" s="55">
        <v>1</v>
      </c>
      <c r="B70" s="91">
        <v>2</v>
      </c>
      <c r="C70" s="55">
        <v>6</v>
      </c>
      <c r="D70" s="55">
        <v>1</v>
      </c>
      <c r="E70" s="56">
        <v>1261</v>
      </c>
      <c r="F70" s="95" t="s">
        <v>592</v>
      </c>
      <c r="G70" s="57" t="s">
        <v>553</v>
      </c>
      <c r="H70" s="58" t="s">
        <v>553</v>
      </c>
      <c r="I70" s="58" t="s">
        <v>553</v>
      </c>
      <c r="J70" s="58" t="s">
        <v>553</v>
      </c>
    </row>
    <row r="71" spans="1:10" ht="13.5" customHeight="1">
      <c r="A71" s="59">
        <v>1</v>
      </c>
      <c r="B71" s="92">
        <v>2</v>
      </c>
      <c r="C71" s="59">
        <v>6</v>
      </c>
      <c r="D71" s="59">
        <v>2</v>
      </c>
      <c r="E71" s="60">
        <v>1262</v>
      </c>
      <c r="F71" s="96" t="s">
        <v>593</v>
      </c>
      <c r="G71" s="61" t="s">
        <v>553</v>
      </c>
      <c r="H71" s="62" t="s">
        <v>553</v>
      </c>
      <c r="I71" s="62" t="s">
        <v>553</v>
      </c>
      <c r="J71" s="62" t="s">
        <v>553</v>
      </c>
    </row>
    <row r="72" spans="1:10" ht="13.5" customHeight="1">
      <c r="A72" s="59">
        <v>1</v>
      </c>
      <c r="B72" s="92">
        <v>2</v>
      </c>
      <c r="C72" s="59">
        <v>6</v>
      </c>
      <c r="D72" s="59">
        <v>3</v>
      </c>
      <c r="E72" s="60">
        <v>1263</v>
      </c>
      <c r="F72" s="96" t="s">
        <v>594</v>
      </c>
      <c r="G72" s="61" t="s">
        <v>553</v>
      </c>
      <c r="H72" s="62" t="s">
        <v>553</v>
      </c>
      <c r="I72" s="62" t="s">
        <v>553</v>
      </c>
      <c r="J72" s="62" t="s">
        <v>553</v>
      </c>
    </row>
    <row r="73" spans="1:10" ht="13.5" customHeight="1">
      <c r="A73" s="59">
        <v>1</v>
      </c>
      <c r="B73" s="92">
        <v>2</v>
      </c>
      <c r="C73" s="59">
        <v>6</v>
      </c>
      <c r="D73" s="59">
        <v>4</v>
      </c>
      <c r="E73" s="60">
        <v>1264</v>
      </c>
      <c r="F73" s="96" t="s">
        <v>595</v>
      </c>
      <c r="G73" s="61" t="s">
        <v>553</v>
      </c>
      <c r="H73" s="62" t="s">
        <v>553</v>
      </c>
      <c r="I73" s="62" t="s">
        <v>553</v>
      </c>
      <c r="J73" s="62" t="s">
        <v>553</v>
      </c>
    </row>
    <row r="74" spans="1:10" ht="13.5" customHeight="1">
      <c r="A74" s="59">
        <v>1</v>
      </c>
      <c r="B74" s="92">
        <v>2</v>
      </c>
      <c r="C74" s="59">
        <v>6</v>
      </c>
      <c r="D74" s="59">
        <v>5</v>
      </c>
      <c r="E74" s="60">
        <v>1265</v>
      </c>
      <c r="F74" s="96" t="s">
        <v>596</v>
      </c>
      <c r="G74" s="61" t="s">
        <v>553</v>
      </c>
      <c r="H74" s="62" t="s">
        <v>553</v>
      </c>
      <c r="I74" s="62" t="s">
        <v>553</v>
      </c>
      <c r="J74" s="62" t="s">
        <v>553</v>
      </c>
    </row>
    <row r="75" spans="1:10" ht="13.5" customHeight="1">
      <c r="A75" s="59">
        <v>1</v>
      </c>
      <c r="B75" s="92">
        <v>2</v>
      </c>
      <c r="C75" s="59">
        <v>6</v>
      </c>
      <c r="D75" s="59">
        <v>6</v>
      </c>
      <c r="E75" s="60">
        <v>1266</v>
      </c>
      <c r="F75" s="96" t="s">
        <v>597</v>
      </c>
      <c r="G75" s="61" t="s">
        <v>553</v>
      </c>
      <c r="H75" s="62" t="s">
        <v>553</v>
      </c>
      <c r="I75" s="62" t="s">
        <v>553</v>
      </c>
      <c r="J75" s="62" t="s">
        <v>553</v>
      </c>
    </row>
    <row r="76" spans="1:10" ht="13.5" customHeight="1">
      <c r="A76" s="59">
        <v>1</v>
      </c>
      <c r="B76" s="92">
        <v>2</v>
      </c>
      <c r="C76" s="59">
        <v>6</v>
      </c>
      <c r="D76" s="59">
        <v>7</v>
      </c>
      <c r="E76" s="60">
        <v>1267</v>
      </c>
      <c r="F76" s="96" t="s">
        <v>598</v>
      </c>
      <c r="G76" s="61" t="s">
        <v>553</v>
      </c>
      <c r="H76" s="62" t="s">
        <v>553</v>
      </c>
      <c r="I76" s="62" t="s">
        <v>553</v>
      </c>
      <c r="J76" s="62" t="s">
        <v>553</v>
      </c>
    </row>
    <row r="77" spans="1:10" ht="13.5" customHeight="1">
      <c r="A77" s="59">
        <v>1</v>
      </c>
      <c r="B77" s="92">
        <v>2</v>
      </c>
      <c r="C77" s="59">
        <v>6</v>
      </c>
      <c r="D77" s="59">
        <v>8</v>
      </c>
      <c r="E77" s="60">
        <v>1268</v>
      </c>
      <c r="F77" s="96" t="s">
        <v>599</v>
      </c>
      <c r="G77" s="61" t="s">
        <v>553</v>
      </c>
      <c r="H77" s="62" t="s">
        <v>553</v>
      </c>
      <c r="I77" s="62" t="s">
        <v>553</v>
      </c>
      <c r="J77" s="62" t="s">
        <v>553</v>
      </c>
    </row>
    <row r="78" spans="1:10" ht="13.5" customHeight="1">
      <c r="A78" s="63">
        <v>1</v>
      </c>
      <c r="B78" s="93">
        <v>2</v>
      </c>
      <c r="C78" s="63">
        <v>6</v>
      </c>
      <c r="D78" s="63">
        <v>9</v>
      </c>
      <c r="E78" s="64">
        <v>1269</v>
      </c>
      <c r="F78" s="98" t="s">
        <v>541</v>
      </c>
      <c r="G78" s="65" t="s">
        <v>553</v>
      </c>
      <c r="H78" s="66" t="s">
        <v>553</v>
      </c>
      <c r="I78" s="66" t="s">
        <v>553</v>
      </c>
      <c r="J78" s="66" t="s">
        <v>553</v>
      </c>
    </row>
    <row r="79" spans="1:10" ht="13.5" customHeight="1">
      <c r="A79" s="52">
        <v>1</v>
      </c>
      <c r="B79" s="89">
        <v>2</v>
      </c>
      <c r="C79" s="52">
        <v>7</v>
      </c>
      <c r="D79" s="52">
        <v>0</v>
      </c>
      <c r="E79" s="52">
        <v>1270</v>
      </c>
      <c r="F79" s="97" t="s">
        <v>600</v>
      </c>
      <c r="G79" s="53" t="s">
        <v>531</v>
      </c>
      <c r="H79" s="54" t="s">
        <v>531</v>
      </c>
      <c r="I79" s="54" t="s">
        <v>531</v>
      </c>
      <c r="J79" s="54" t="s">
        <v>531</v>
      </c>
    </row>
    <row r="80" spans="1:10" ht="13.5" customHeight="1">
      <c r="A80" s="55">
        <v>1</v>
      </c>
      <c r="B80" s="91">
        <v>2</v>
      </c>
      <c r="C80" s="55">
        <v>7</v>
      </c>
      <c r="D80" s="55">
        <v>1</v>
      </c>
      <c r="E80" s="56">
        <v>1271</v>
      </c>
      <c r="F80" s="95" t="s">
        <v>601</v>
      </c>
      <c r="G80" s="57" t="s">
        <v>553</v>
      </c>
      <c r="H80" s="58" t="s">
        <v>553</v>
      </c>
      <c r="I80" s="58" t="s">
        <v>553</v>
      </c>
      <c r="J80" s="58" t="s">
        <v>553</v>
      </c>
    </row>
    <row r="81" spans="1:10" ht="13.5" customHeight="1">
      <c r="A81" s="59">
        <v>1</v>
      </c>
      <c r="B81" s="92">
        <v>2</v>
      </c>
      <c r="C81" s="59">
        <v>7</v>
      </c>
      <c r="D81" s="59">
        <v>2</v>
      </c>
      <c r="E81" s="60">
        <v>1272</v>
      </c>
      <c r="F81" s="96" t="s">
        <v>602</v>
      </c>
      <c r="G81" s="61" t="s">
        <v>553</v>
      </c>
      <c r="H81" s="62" t="s">
        <v>553</v>
      </c>
      <c r="I81" s="62" t="s">
        <v>553</v>
      </c>
      <c r="J81" s="62" t="s">
        <v>553</v>
      </c>
    </row>
    <row r="82" spans="1:10" ht="13.5" customHeight="1">
      <c r="A82" s="59">
        <v>1</v>
      </c>
      <c r="B82" s="92">
        <v>2</v>
      </c>
      <c r="C82" s="59">
        <v>7</v>
      </c>
      <c r="D82" s="59">
        <v>3</v>
      </c>
      <c r="E82" s="60">
        <v>1273</v>
      </c>
      <c r="F82" s="96" t="s">
        <v>603</v>
      </c>
      <c r="G82" s="61" t="s">
        <v>535</v>
      </c>
      <c r="H82" s="62" t="s">
        <v>535</v>
      </c>
      <c r="I82" s="62" t="s">
        <v>535</v>
      </c>
      <c r="J82" s="62" t="s">
        <v>535</v>
      </c>
    </row>
    <row r="83" spans="1:10" ht="13.5" customHeight="1">
      <c r="A83" s="59">
        <v>1</v>
      </c>
      <c r="B83" s="92">
        <v>2</v>
      </c>
      <c r="C83" s="59">
        <v>7</v>
      </c>
      <c r="D83" s="59">
        <v>4</v>
      </c>
      <c r="E83" s="60">
        <v>1274</v>
      </c>
      <c r="F83" s="96" t="s">
        <v>604</v>
      </c>
      <c r="G83" s="61" t="s">
        <v>535</v>
      </c>
      <c r="H83" s="62" t="s">
        <v>535</v>
      </c>
      <c r="I83" s="62" t="s">
        <v>535</v>
      </c>
      <c r="J83" s="62" t="s">
        <v>535</v>
      </c>
    </row>
    <row r="84" spans="1:10" ht="13.5" customHeight="1">
      <c r="A84" s="63">
        <v>1</v>
      </c>
      <c r="B84" s="93">
        <v>2</v>
      </c>
      <c r="C84" s="63">
        <v>7</v>
      </c>
      <c r="D84" s="63">
        <v>9</v>
      </c>
      <c r="E84" s="64">
        <v>1279</v>
      </c>
      <c r="F84" s="98" t="s">
        <v>541</v>
      </c>
      <c r="G84" s="65" t="s">
        <v>553</v>
      </c>
      <c r="H84" s="66" t="s">
        <v>553</v>
      </c>
      <c r="I84" s="66" t="s">
        <v>553</v>
      </c>
      <c r="J84" s="66" t="s">
        <v>553</v>
      </c>
    </row>
    <row r="85" spans="1:10" ht="13.5" customHeight="1">
      <c r="A85" s="52">
        <v>1</v>
      </c>
      <c r="B85" s="89">
        <v>2</v>
      </c>
      <c r="C85" s="52">
        <v>8</v>
      </c>
      <c r="D85" s="52">
        <v>0</v>
      </c>
      <c r="E85" s="52">
        <v>1280</v>
      </c>
      <c r="F85" s="97" t="s">
        <v>605</v>
      </c>
      <c r="G85" s="53" t="s">
        <v>553</v>
      </c>
      <c r="H85" s="54" t="s">
        <v>553</v>
      </c>
      <c r="I85" s="54" t="s">
        <v>553</v>
      </c>
      <c r="J85" s="54" t="s">
        <v>553</v>
      </c>
    </row>
    <row r="86" spans="1:10" ht="13.5" customHeight="1">
      <c r="A86" s="55">
        <v>1</v>
      </c>
      <c r="B86" s="91">
        <v>2</v>
      </c>
      <c r="C86" s="55">
        <v>8</v>
      </c>
      <c r="D86" s="55">
        <v>1</v>
      </c>
      <c r="E86" s="56">
        <v>1281</v>
      </c>
      <c r="F86" s="95" t="s">
        <v>606</v>
      </c>
      <c r="G86" s="57" t="s">
        <v>553</v>
      </c>
      <c r="H86" s="58" t="s">
        <v>553</v>
      </c>
      <c r="I86" s="58" t="s">
        <v>553</v>
      </c>
      <c r="J86" s="58" t="s">
        <v>553</v>
      </c>
    </row>
    <row r="87" spans="1:10" ht="13.5" customHeight="1">
      <c r="A87" s="59">
        <v>1</v>
      </c>
      <c r="B87" s="92">
        <v>2</v>
      </c>
      <c r="C87" s="59">
        <v>8</v>
      </c>
      <c r="D87" s="59">
        <v>2</v>
      </c>
      <c r="E87" s="60">
        <v>1282</v>
      </c>
      <c r="F87" s="96" t="s">
        <v>607</v>
      </c>
      <c r="G87" s="61" t="s">
        <v>553</v>
      </c>
      <c r="H87" s="62" t="s">
        <v>553</v>
      </c>
      <c r="I87" s="62" t="s">
        <v>553</v>
      </c>
      <c r="J87" s="62" t="s">
        <v>553</v>
      </c>
    </row>
    <row r="88" spans="1:10" ht="13.5" customHeight="1">
      <c r="A88" s="59">
        <v>1</v>
      </c>
      <c r="B88" s="92">
        <v>2</v>
      </c>
      <c r="C88" s="59">
        <v>8</v>
      </c>
      <c r="D88" s="59">
        <v>3</v>
      </c>
      <c r="E88" s="60">
        <v>1283</v>
      </c>
      <c r="F88" s="96" t="s">
        <v>608</v>
      </c>
      <c r="G88" s="61" t="s">
        <v>553</v>
      </c>
      <c r="H88" s="62" t="s">
        <v>553</v>
      </c>
      <c r="I88" s="62" t="s">
        <v>553</v>
      </c>
      <c r="J88" s="62" t="s">
        <v>553</v>
      </c>
    </row>
    <row r="89" spans="1:10" ht="13.5" customHeight="1">
      <c r="A89" s="59">
        <v>1</v>
      </c>
      <c r="B89" s="92">
        <v>2</v>
      </c>
      <c r="C89" s="59">
        <v>8</v>
      </c>
      <c r="D89" s="59">
        <v>4</v>
      </c>
      <c r="E89" s="60">
        <v>1284</v>
      </c>
      <c r="F89" s="96" t="s">
        <v>609</v>
      </c>
      <c r="G89" s="61" t="s">
        <v>553</v>
      </c>
      <c r="H89" s="62" t="s">
        <v>553</v>
      </c>
      <c r="I89" s="62" t="s">
        <v>553</v>
      </c>
      <c r="J89" s="62" t="s">
        <v>553</v>
      </c>
    </row>
    <row r="90" spans="1:10" ht="13.5" customHeight="1">
      <c r="A90" s="59">
        <v>1</v>
      </c>
      <c r="B90" s="92">
        <v>2</v>
      </c>
      <c r="C90" s="59">
        <v>8</v>
      </c>
      <c r="D90" s="59">
        <v>5</v>
      </c>
      <c r="E90" s="60">
        <v>1285</v>
      </c>
      <c r="F90" s="96" t="s">
        <v>610</v>
      </c>
      <c r="G90" s="61" t="s">
        <v>529</v>
      </c>
      <c r="H90" s="62" t="s">
        <v>529</v>
      </c>
      <c r="I90" s="62" t="s">
        <v>529</v>
      </c>
      <c r="J90" s="62" t="s">
        <v>529</v>
      </c>
    </row>
    <row r="91" spans="1:10" ht="13.5" customHeight="1">
      <c r="A91" s="63">
        <v>1</v>
      </c>
      <c r="B91" s="93">
        <v>2</v>
      </c>
      <c r="C91" s="63">
        <v>8</v>
      </c>
      <c r="D91" s="63">
        <v>9</v>
      </c>
      <c r="E91" s="64">
        <v>1289</v>
      </c>
      <c r="F91" s="98" t="s">
        <v>541</v>
      </c>
      <c r="G91" s="65" t="s">
        <v>553</v>
      </c>
      <c r="H91" s="66" t="s">
        <v>553</v>
      </c>
      <c r="I91" s="66" t="s">
        <v>553</v>
      </c>
      <c r="J91" s="66" t="s">
        <v>553</v>
      </c>
    </row>
    <row r="92" spans="1:10" ht="13.5" customHeight="1">
      <c r="A92" s="52">
        <v>1</v>
      </c>
      <c r="B92" s="89">
        <v>2</v>
      </c>
      <c r="C92" s="52">
        <v>9</v>
      </c>
      <c r="D92" s="52">
        <v>0</v>
      </c>
      <c r="E92" s="52">
        <v>1290</v>
      </c>
      <c r="F92" s="97" t="s">
        <v>611</v>
      </c>
      <c r="G92" s="53" t="s">
        <v>553</v>
      </c>
      <c r="H92" s="54" t="s">
        <v>553</v>
      </c>
      <c r="I92" s="54" t="s">
        <v>553</v>
      </c>
      <c r="J92" s="54" t="s">
        <v>553</v>
      </c>
    </row>
    <row r="93" spans="1:10" ht="13.5" customHeight="1">
      <c r="A93" s="55">
        <v>1</v>
      </c>
      <c r="B93" s="91">
        <v>2</v>
      </c>
      <c r="C93" s="55">
        <v>9</v>
      </c>
      <c r="D93" s="55">
        <v>1</v>
      </c>
      <c r="E93" s="56">
        <v>1291</v>
      </c>
      <c r="F93" s="95" t="s">
        <v>612</v>
      </c>
      <c r="G93" s="57" t="s">
        <v>553</v>
      </c>
      <c r="H93" s="58" t="s">
        <v>553</v>
      </c>
      <c r="I93" s="58" t="s">
        <v>553</v>
      </c>
      <c r="J93" s="58" t="s">
        <v>553</v>
      </c>
    </row>
    <row r="94" spans="1:10" ht="13.5" customHeight="1">
      <c r="A94" s="59">
        <v>1</v>
      </c>
      <c r="B94" s="92">
        <v>2</v>
      </c>
      <c r="C94" s="59">
        <v>9</v>
      </c>
      <c r="D94" s="59">
        <v>2</v>
      </c>
      <c r="E94" s="60">
        <v>1292</v>
      </c>
      <c r="F94" s="96" t="s">
        <v>613</v>
      </c>
      <c r="G94" s="61" t="s">
        <v>553</v>
      </c>
      <c r="H94" s="62" t="s">
        <v>553</v>
      </c>
      <c r="I94" s="62" t="s">
        <v>553</v>
      </c>
      <c r="J94" s="62" t="s">
        <v>553</v>
      </c>
    </row>
    <row r="95" spans="1:10" ht="13.5" customHeight="1">
      <c r="A95" s="59">
        <v>1</v>
      </c>
      <c r="B95" s="92">
        <v>2</v>
      </c>
      <c r="C95" s="59">
        <v>9</v>
      </c>
      <c r="D95" s="59">
        <v>3</v>
      </c>
      <c r="E95" s="60">
        <v>1293</v>
      </c>
      <c r="F95" s="96" t="s">
        <v>614</v>
      </c>
      <c r="G95" s="61" t="s">
        <v>553</v>
      </c>
      <c r="H95" s="62" t="s">
        <v>553</v>
      </c>
      <c r="I95" s="62" t="s">
        <v>553</v>
      </c>
      <c r="J95" s="62" t="s">
        <v>553</v>
      </c>
    </row>
    <row r="96" spans="1:10" ht="13.5" customHeight="1">
      <c r="A96" s="59">
        <v>1</v>
      </c>
      <c r="B96" s="92">
        <v>2</v>
      </c>
      <c r="C96" s="59">
        <v>9</v>
      </c>
      <c r="D96" s="59">
        <v>4</v>
      </c>
      <c r="E96" s="60">
        <v>1294</v>
      </c>
      <c r="F96" s="96" t="s">
        <v>615</v>
      </c>
      <c r="G96" s="61" t="s">
        <v>553</v>
      </c>
      <c r="H96" s="62" t="s">
        <v>553</v>
      </c>
      <c r="I96" s="62" t="s">
        <v>553</v>
      </c>
      <c r="J96" s="62" t="s">
        <v>553</v>
      </c>
    </row>
    <row r="97" spans="1:10" ht="13.5" customHeight="1">
      <c r="A97" s="59">
        <v>1</v>
      </c>
      <c r="B97" s="92">
        <v>2</v>
      </c>
      <c r="C97" s="59">
        <v>9</v>
      </c>
      <c r="D97" s="59">
        <v>5</v>
      </c>
      <c r="E97" s="60">
        <v>1295</v>
      </c>
      <c r="F97" s="96" t="s">
        <v>616</v>
      </c>
      <c r="G97" s="61" t="s">
        <v>553</v>
      </c>
      <c r="H97" s="62" t="s">
        <v>553</v>
      </c>
      <c r="I97" s="62" t="s">
        <v>553</v>
      </c>
      <c r="J97" s="62" t="s">
        <v>553</v>
      </c>
    </row>
    <row r="98" spans="1:10" ht="13.5" customHeight="1">
      <c r="A98" s="59">
        <v>1</v>
      </c>
      <c r="B98" s="92">
        <v>2</v>
      </c>
      <c r="C98" s="59">
        <v>9</v>
      </c>
      <c r="D98" s="59">
        <v>6</v>
      </c>
      <c r="E98" s="60">
        <v>1296</v>
      </c>
      <c r="F98" s="96" t="s">
        <v>617</v>
      </c>
      <c r="G98" s="61" t="s">
        <v>553</v>
      </c>
      <c r="H98" s="62" t="s">
        <v>553</v>
      </c>
      <c r="I98" s="62" t="s">
        <v>553</v>
      </c>
      <c r="J98" s="62" t="s">
        <v>553</v>
      </c>
    </row>
    <row r="99" spans="1:10" ht="13.5" customHeight="1">
      <c r="A99" s="59">
        <v>1</v>
      </c>
      <c r="B99" s="92">
        <v>2</v>
      </c>
      <c r="C99" s="59">
        <v>9</v>
      </c>
      <c r="D99" s="59">
        <v>7</v>
      </c>
      <c r="E99" s="60">
        <v>1297</v>
      </c>
      <c r="F99" s="96" t="s">
        <v>618</v>
      </c>
      <c r="G99" s="61" t="s">
        <v>553</v>
      </c>
      <c r="H99" s="62" t="s">
        <v>553</v>
      </c>
      <c r="I99" s="62" t="s">
        <v>553</v>
      </c>
      <c r="J99" s="62" t="s">
        <v>553</v>
      </c>
    </row>
    <row r="100" spans="1:10" ht="13.5" customHeight="1">
      <c r="A100" s="59">
        <v>1</v>
      </c>
      <c r="B100" s="92">
        <v>2</v>
      </c>
      <c r="C100" s="59">
        <v>9</v>
      </c>
      <c r="D100" s="59">
        <v>8</v>
      </c>
      <c r="E100" s="60">
        <v>1298</v>
      </c>
      <c r="F100" s="96" t="s">
        <v>619</v>
      </c>
      <c r="G100" s="61" t="s">
        <v>553</v>
      </c>
      <c r="H100" s="62" t="s">
        <v>553</v>
      </c>
      <c r="I100" s="62" t="s">
        <v>553</v>
      </c>
      <c r="J100" s="62" t="s">
        <v>553</v>
      </c>
    </row>
    <row r="101" spans="1:10" ht="13.5" customHeight="1">
      <c r="A101" s="63">
        <v>1</v>
      </c>
      <c r="B101" s="93">
        <v>2</v>
      </c>
      <c r="C101" s="63">
        <v>9</v>
      </c>
      <c r="D101" s="63">
        <v>9</v>
      </c>
      <c r="E101" s="64">
        <v>1299</v>
      </c>
      <c r="F101" s="98" t="s">
        <v>541</v>
      </c>
      <c r="G101" s="65" t="s">
        <v>553</v>
      </c>
      <c r="H101" s="66" t="s">
        <v>553</v>
      </c>
      <c r="I101" s="66" t="s">
        <v>553</v>
      </c>
      <c r="J101" s="66" t="s">
        <v>553</v>
      </c>
    </row>
    <row r="102" spans="1:10" ht="13.5" customHeight="1">
      <c r="A102" s="42">
        <v>2</v>
      </c>
      <c r="B102" s="88">
        <v>0</v>
      </c>
      <c r="C102" s="42">
        <v>0</v>
      </c>
      <c r="D102" s="42">
        <v>0</v>
      </c>
      <c r="E102" s="42">
        <v>2000</v>
      </c>
      <c r="F102" s="100" t="s">
        <v>620</v>
      </c>
      <c r="G102" s="44" t="s">
        <v>529</v>
      </c>
      <c r="H102" s="45" t="s">
        <v>529</v>
      </c>
      <c r="I102" s="45" t="s">
        <v>529</v>
      </c>
      <c r="J102" s="45" t="s">
        <v>529</v>
      </c>
    </row>
    <row r="103" spans="1:10" ht="13.5" customHeight="1">
      <c r="A103" s="46">
        <v>2</v>
      </c>
      <c r="B103" s="90">
        <v>1</v>
      </c>
      <c r="C103" s="46">
        <v>0</v>
      </c>
      <c r="D103" s="46">
        <v>0</v>
      </c>
      <c r="E103" s="46">
        <v>2100</v>
      </c>
      <c r="F103" s="99" t="s">
        <v>621</v>
      </c>
      <c r="G103" s="48" t="s">
        <v>529</v>
      </c>
      <c r="H103" s="49" t="s">
        <v>529</v>
      </c>
      <c r="I103" s="49" t="s">
        <v>529</v>
      </c>
      <c r="J103" s="49" t="s">
        <v>529</v>
      </c>
    </row>
    <row r="104" spans="1:10" ht="13.5" customHeight="1">
      <c r="A104" s="52">
        <v>2</v>
      </c>
      <c r="B104" s="89">
        <v>1</v>
      </c>
      <c r="C104" s="52">
        <v>1</v>
      </c>
      <c r="D104" s="52">
        <v>0</v>
      </c>
      <c r="E104" s="52">
        <v>2110</v>
      </c>
      <c r="F104" s="97" t="s">
        <v>622</v>
      </c>
      <c r="G104" s="53" t="s">
        <v>529</v>
      </c>
      <c r="H104" s="54" t="s">
        <v>529</v>
      </c>
      <c r="I104" s="54" t="s">
        <v>529</v>
      </c>
      <c r="J104" s="54" t="s">
        <v>529</v>
      </c>
    </row>
    <row r="105" spans="1:10" ht="13.5" customHeight="1">
      <c r="A105" s="55">
        <v>2</v>
      </c>
      <c r="B105" s="91">
        <v>1</v>
      </c>
      <c r="C105" s="55">
        <v>1</v>
      </c>
      <c r="D105" s="55">
        <v>1</v>
      </c>
      <c r="E105" s="56">
        <v>2111</v>
      </c>
      <c r="F105" s="95" t="s">
        <v>623</v>
      </c>
      <c r="G105" s="57" t="s">
        <v>529</v>
      </c>
      <c r="H105" s="58" t="s">
        <v>529</v>
      </c>
      <c r="I105" s="58" t="s">
        <v>529</v>
      </c>
      <c r="J105" s="58" t="s">
        <v>529</v>
      </c>
    </row>
    <row r="106" spans="1:10" ht="13.5" customHeight="1">
      <c r="A106" s="59">
        <v>2</v>
      </c>
      <c r="B106" s="92">
        <v>1</v>
      </c>
      <c r="C106" s="59">
        <v>1</v>
      </c>
      <c r="D106" s="59">
        <v>2</v>
      </c>
      <c r="E106" s="60">
        <v>2112</v>
      </c>
      <c r="F106" s="96" t="s">
        <v>624</v>
      </c>
      <c r="G106" s="61" t="s">
        <v>529</v>
      </c>
      <c r="H106" s="62" t="s">
        <v>529</v>
      </c>
      <c r="I106" s="62" t="s">
        <v>529</v>
      </c>
      <c r="J106" s="62" t="s">
        <v>529</v>
      </c>
    </row>
    <row r="107" spans="1:10" ht="13.5" customHeight="1">
      <c r="A107" s="59">
        <v>2</v>
      </c>
      <c r="B107" s="92">
        <v>1</v>
      </c>
      <c r="C107" s="59">
        <v>1</v>
      </c>
      <c r="D107" s="59">
        <v>3</v>
      </c>
      <c r="E107" s="60">
        <v>2113</v>
      </c>
      <c r="F107" s="96" t="s">
        <v>538</v>
      </c>
      <c r="G107" s="61" t="s">
        <v>529</v>
      </c>
      <c r="H107" s="62" t="s">
        <v>529</v>
      </c>
      <c r="I107" s="62" t="s">
        <v>529</v>
      </c>
      <c r="J107" s="62" t="s">
        <v>529</v>
      </c>
    </row>
    <row r="108" spans="1:10" ht="13.5" customHeight="1">
      <c r="A108" s="59">
        <v>2</v>
      </c>
      <c r="B108" s="92">
        <v>1</v>
      </c>
      <c r="C108" s="59">
        <v>1</v>
      </c>
      <c r="D108" s="59">
        <v>4</v>
      </c>
      <c r="E108" s="60">
        <v>2114</v>
      </c>
      <c r="F108" s="96" t="s">
        <v>625</v>
      </c>
      <c r="G108" s="61" t="s">
        <v>529</v>
      </c>
      <c r="H108" s="62" t="s">
        <v>529</v>
      </c>
      <c r="I108" s="62" t="s">
        <v>529</v>
      </c>
      <c r="J108" s="62" t="s">
        <v>529</v>
      </c>
    </row>
    <row r="109" spans="1:10" ht="13.5" customHeight="1">
      <c r="A109" s="59">
        <v>2</v>
      </c>
      <c r="B109" s="92">
        <v>1</v>
      </c>
      <c r="C109" s="59">
        <v>1</v>
      </c>
      <c r="D109" s="59">
        <v>5</v>
      </c>
      <c r="E109" s="60">
        <v>2115</v>
      </c>
      <c r="F109" s="96" t="s">
        <v>626</v>
      </c>
      <c r="G109" s="61" t="s">
        <v>529</v>
      </c>
      <c r="H109" s="62" t="s">
        <v>529</v>
      </c>
      <c r="I109" s="62" t="s">
        <v>529</v>
      </c>
      <c r="J109" s="62" t="s">
        <v>529</v>
      </c>
    </row>
    <row r="110" spans="1:10" ht="13.5" customHeight="1">
      <c r="A110" s="59">
        <v>2</v>
      </c>
      <c r="B110" s="92">
        <v>1</v>
      </c>
      <c r="C110" s="59">
        <v>1</v>
      </c>
      <c r="D110" s="59">
        <v>6</v>
      </c>
      <c r="E110" s="60">
        <v>2116</v>
      </c>
      <c r="F110" s="96" t="s">
        <v>627</v>
      </c>
      <c r="G110" s="61" t="s">
        <v>529</v>
      </c>
      <c r="H110" s="62" t="s">
        <v>529</v>
      </c>
      <c r="I110" s="62" t="s">
        <v>529</v>
      </c>
      <c r="J110" s="62" t="s">
        <v>529</v>
      </c>
    </row>
    <row r="111" spans="1:10" ht="13.5" customHeight="1">
      <c r="A111" s="59">
        <v>2</v>
      </c>
      <c r="B111" s="93">
        <v>1</v>
      </c>
      <c r="C111" s="59">
        <v>1</v>
      </c>
      <c r="D111" s="59">
        <v>7</v>
      </c>
      <c r="E111" s="60">
        <v>2117</v>
      </c>
      <c r="F111" s="96" t="s">
        <v>628</v>
      </c>
      <c r="G111" s="61" t="s">
        <v>529</v>
      </c>
      <c r="H111" s="62" t="s">
        <v>529</v>
      </c>
      <c r="I111" s="62" t="s">
        <v>529</v>
      </c>
      <c r="J111" s="62" t="s">
        <v>529</v>
      </c>
    </row>
    <row r="112" spans="1:10" ht="13.5" customHeight="1">
      <c r="A112" s="52">
        <v>2</v>
      </c>
      <c r="B112" s="89">
        <v>1</v>
      </c>
      <c r="C112" s="52">
        <v>2</v>
      </c>
      <c r="D112" s="52">
        <v>0</v>
      </c>
      <c r="E112" s="52">
        <v>2120</v>
      </c>
      <c r="F112" s="97" t="s">
        <v>629</v>
      </c>
      <c r="G112" s="53" t="s">
        <v>529</v>
      </c>
      <c r="H112" s="54" t="s">
        <v>529</v>
      </c>
      <c r="I112" s="54" t="s">
        <v>529</v>
      </c>
      <c r="J112" s="54" t="s">
        <v>529</v>
      </c>
    </row>
    <row r="113" spans="1:10" ht="13.5" customHeight="1">
      <c r="A113" s="55">
        <v>2</v>
      </c>
      <c r="B113" s="91">
        <v>1</v>
      </c>
      <c r="C113" s="55">
        <v>2</v>
      </c>
      <c r="D113" s="55">
        <v>1</v>
      </c>
      <c r="E113" s="56">
        <v>2121</v>
      </c>
      <c r="F113" s="95" t="s">
        <v>543</v>
      </c>
      <c r="G113" s="57" t="s">
        <v>529</v>
      </c>
      <c r="H113" s="58" t="s">
        <v>529</v>
      </c>
      <c r="I113" s="58" t="s">
        <v>529</v>
      </c>
      <c r="J113" s="58" t="s">
        <v>529</v>
      </c>
    </row>
    <row r="114" spans="1:10" ht="13.5" customHeight="1">
      <c r="A114" s="59">
        <v>2</v>
      </c>
      <c r="B114" s="92">
        <v>1</v>
      </c>
      <c r="C114" s="59">
        <v>2</v>
      </c>
      <c r="D114" s="59">
        <v>2</v>
      </c>
      <c r="E114" s="60">
        <v>2122</v>
      </c>
      <c r="F114" s="96" t="s">
        <v>544</v>
      </c>
      <c r="G114" s="61" t="s">
        <v>529</v>
      </c>
      <c r="H114" s="62" t="s">
        <v>529</v>
      </c>
      <c r="I114" s="62" t="s">
        <v>529</v>
      </c>
      <c r="J114" s="62" t="s">
        <v>529</v>
      </c>
    </row>
    <row r="115" spans="1:10" ht="13.5" customHeight="1">
      <c r="A115" s="59">
        <v>2</v>
      </c>
      <c r="B115" s="92">
        <v>1</v>
      </c>
      <c r="C115" s="59">
        <v>2</v>
      </c>
      <c r="D115" s="59">
        <v>3</v>
      </c>
      <c r="E115" s="60">
        <v>2123</v>
      </c>
      <c r="F115" s="96" t="s">
        <v>545</v>
      </c>
      <c r="G115" s="61" t="s">
        <v>529</v>
      </c>
      <c r="H115" s="62" t="s">
        <v>529</v>
      </c>
      <c r="I115" s="62" t="s">
        <v>529</v>
      </c>
      <c r="J115" s="62" t="s">
        <v>529</v>
      </c>
    </row>
    <row r="116" spans="1:10" ht="13.5" customHeight="1">
      <c r="A116" s="59">
        <v>2</v>
      </c>
      <c r="B116" s="92">
        <v>1</v>
      </c>
      <c r="C116" s="59">
        <v>2</v>
      </c>
      <c r="D116" s="59">
        <v>4</v>
      </c>
      <c r="E116" s="60">
        <v>2124</v>
      </c>
      <c r="F116" s="96" t="s">
        <v>546</v>
      </c>
      <c r="G116" s="61" t="s">
        <v>529</v>
      </c>
      <c r="H116" s="62" t="s">
        <v>529</v>
      </c>
      <c r="I116" s="62" t="s">
        <v>529</v>
      </c>
      <c r="J116" s="62" t="s">
        <v>529</v>
      </c>
    </row>
    <row r="117" spans="1:10" ht="13.5" customHeight="1">
      <c r="A117" s="59">
        <v>2</v>
      </c>
      <c r="B117" s="92">
        <v>1</v>
      </c>
      <c r="C117" s="59">
        <v>2</v>
      </c>
      <c r="D117" s="59">
        <v>5</v>
      </c>
      <c r="E117" s="60">
        <v>2125</v>
      </c>
      <c r="F117" s="96" t="s">
        <v>630</v>
      </c>
      <c r="G117" s="61" t="s">
        <v>529</v>
      </c>
      <c r="H117" s="62" t="s">
        <v>529</v>
      </c>
      <c r="I117" s="62" t="s">
        <v>529</v>
      </c>
      <c r="J117" s="62" t="s">
        <v>529</v>
      </c>
    </row>
    <row r="118" spans="1:10" ht="13.5" customHeight="1">
      <c r="A118" s="59">
        <v>2</v>
      </c>
      <c r="B118" s="92">
        <v>1</v>
      </c>
      <c r="C118" s="59">
        <v>2</v>
      </c>
      <c r="D118" s="59">
        <v>6</v>
      </c>
      <c r="E118" s="60">
        <v>2126</v>
      </c>
      <c r="F118" s="96" t="s">
        <v>631</v>
      </c>
      <c r="G118" s="61" t="s">
        <v>529</v>
      </c>
      <c r="H118" s="62" t="s">
        <v>529</v>
      </c>
      <c r="I118" s="62" t="s">
        <v>529</v>
      </c>
      <c r="J118" s="62" t="s">
        <v>529</v>
      </c>
    </row>
    <row r="119" spans="1:10" ht="13.5" customHeight="1">
      <c r="A119" s="59">
        <v>2</v>
      </c>
      <c r="B119" s="92">
        <v>1</v>
      </c>
      <c r="C119" s="59">
        <v>2</v>
      </c>
      <c r="D119" s="59">
        <v>7</v>
      </c>
      <c r="E119" s="60">
        <v>2127</v>
      </c>
      <c r="F119" s="96" t="s">
        <v>632</v>
      </c>
      <c r="G119" s="61" t="s">
        <v>529</v>
      </c>
      <c r="H119" s="62" t="s">
        <v>529</v>
      </c>
      <c r="I119" s="62" t="s">
        <v>529</v>
      </c>
      <c r="J119" s="62" t="s">
        <v>529</v>
      </c>
    </row>
    <row r="120" spans="1:10" ht="13.5" customHeight="1">
      <c r="A120" s="63">
        <v>2</v>
      </c>
      <c r="B120" s="93">
        <v>1</v>
      </c>
      <c r="C120" s="63">
        <v>2</v>
      </c>
      <c r="D120" s="63">
        <v>8</v>
      </c>
      <c r="E120" s="64">
        <v>2128</v>
      </c>
      <c r="F120" s="98" t="s">
        <v>633</v>
      </c>
      <c r="G120" s="65" t="s">
        <v>529</v>
      </c>
      <c r="H120" s="66" t="s">
        <v>529</v>
      </c>
      <c r="I120" s="66" t="s">
        <v>529</v>
      </c>
      <c r="J120" s="66" t="s">
        <v>529</v>
      </c>
    </row>
    <row r="121" spans="1:10" ht="13.5" customHeight="1">
      <c r="A121" s="52">
        <v>2</v>
      </c>
      <c r="B121" s="89">
        <v>1</v>
      </c>
      <c r="C121" s="52">
        <v>3</v>
      </c>
      <c r="D121" s="52">
        <v>0</v>
      </c>
      <c r="E121" s="52">
        <v>2130</v>
      </c>
      <c r="F121" s="97" t="s">
        <v>634</v>
      </c>
      <c r="G121" s="53" t="s">
        <v>529</v>
      </c>
      <c r="H121" s="54" t="s">
        <v>529</v>
      </c>
      <c r="I121" s="54" t="s">
        <v>529</v>
      </c>
      <c r="J121" s="54" t="s">
        <v>529</v>
      </c>
    </row>
    <row r="122" spans="1:10" ht="13.5" customHeight="1">
      <c r="A122" s="55">
        <v>2</v>
      </c>
      <c r="B122" s="91">
        <v>1</v>
      </c>
      <c r="C122" s="55">
        <v>3</v>
      </c>
      <c r="D122" s="55">
        <v>1</v>
      </c>
      <c r="E122" s="56">
        <v>2131</v>
      </c>
      <c r="F122" s="95" t="s">
        <v>635</v>
      </c>
      <c r="G122" s="57" t="s">
        <v>529</v>
      </c>
      <c r="H122" s="58" t="s">
        <v>529</v>
      </c>
      <c r="I122" s="58" t="s">
        <v>529</v>
      </c>
      <c r="J122" s="58" t="s">
        <v>529</v>
      </c>
    </row>
    <row r="123" spans="1:10" ht="13.5" customHeight="1">
      <c r="A123" s="59">
        <v>2</v>
      </c>
      <c r="B123" s="92">
        <v>1</v>
      </c>
      <c r="C123" s="59">
        <v>3</v>
      </c>
      <c r="D123" s="59">
        <v>2</v>
      </c>
      <c r="E123" s="60">
        <v>2132</v>
      </c>
      <c r="F123" s="96" t="s">
        <v>636</v>
      </c>
      <c r="G123" s="61" t="s">
        <v>529</v>
      </c>
      <c r="H123" s="62" t="s">
        <v>529</v>
      </c>
      <c r="I123" s="62" t="s">
        <v>529</v>
      </c>
      <c r="J123" s="62" t="s">
        <v>529</v>
      </c>
    </row>
    <row r="124" spans="1:10" ht="13.5" customHeight="1">
      <c r="A124" s="59">
        <v>2</v>
      </c>
      <c r="B124" s="92">
        <v>1</v>
      </c>
      <c r="C124" s="59">
        <v>3</v>
      </c>
      <c r="D124" s="59">
        <v>3</v>
      </c>
      <c r="E124" s="60">
        <v>2133</v>
      </c>
      <c r="F124" s="96" t="s">
        <v>552</v>
      </c>
      <c r="G124" s="61" t="s">
        <v>529</v>
      </c>
      <c r="H124" s="62" t="s">
        <v>529</v>
      </c>
      <c r="I124" s="62" t="s">
        <v>529</v>
      </c>
      <c r="J124" s="62" t="s">
        <v>529</v>
      </c>
    </row>
    <row r="125" spans="1:10" ht="13.5" customHeight="1">
      <c r="A125" s="59">
        <v>2</v>
      </c>
      <c r="B125" s="92">
        <v>1</v>
      </c>
      <c r="C125" s="59">
        <v>3</v>
      </c>
      <c r="D125" s="59">
        <v>4</v>
      </c>
      <c r="E125" s="60">
        <v>2134</v>
      </c>
      <c r="F125" s="96" t="s">
        <v>637</v>
      </c>
      <c r="G125" s="61" t="s">
        <v>529</v>
      </c>
      <c r="H125" s="62" t="s">
        <v>529</v>
      </c>
      <c r="I125" s="62" t="s">
        <v>529</v>
      </c>
      <c r="J125" s="62" t="s">
        <v>529</v>
      </c>
    </row>
    <row r="126" spans="1:10" ht="13.5" customHeight="1">
      <c r="A126" s="59">
        <v>2</v>
      </c>
      <c r="B126" s="92">
        <v>1</v>
      </c>
      <c r="C126" s="59">
        <v>3</v>
      </c>
      <c r="D126" s="59">
        <v>5</v>
      </c>
      <c r="E126" s="60">
        <v>2135</v>
      </c>
      <c r="F126" s="96" t="s">
        <v>638</v>
      </c>
      <c r="G126" s="61" t="s">
        <v>529</v>
      </c>
      <c r="H126" s="62" t="s">
        <v>529</v>
      </c>
      <c r="I126" s="62" t="s">
        <v>529</v>
      </c>
      <c r="J126" s="62" t="s">
        <v>529</v>
      </c>
    </row>
    <row r="127" spans="1:10" ht="13.5" customHeight="1">
      <c r="A127" s="59">
        <v>2</v>
      </c>
      <c r="B127" s="92">
        <v>1</v>
      </c>
      <c r="C127" s="59">
        <v>3</v>
      </c>
      <c r="D127" s="59">
        <v>6</v>
      </c>
      <c r="E127" s="60">
        <v>2136</v>
      </c>
      <c r="F127" s="96" t="s">
        <v>639</v>
      </c>
      <c r="G127" s="61" t="s">
        <v>529</v>
      </c>
      <c r="H127" s="62" t="s">
        <v>529</v>
      </c>
      <c r="I127" s="62" t="s">
        <v>529</v>
      </c>
      <c r="J127" s="62" t="s">
        <v>529</v>
      </c>
    </row>
    <row r="128" spans="1:10" ht="13.5" customHeight="1">
      <c r="A128" s="59">
        <v>2</v>
      </c>
      <c r="B128" s="92">
        <v>1</v>
      </c>
      <c r="C128" s="59">
        <v>3</v>
      </c>
      <c r="D128" s="59">
        <v>7</v>
      </c>
      <c r="E128" s="60">
        <v>2137</v>
      </c>
      <c r="F128" s="96" t="s">
        <v>640</v>
      </c>
      <c r="G128" s="61" t="s">
        <v>529</v>
      </c>
      <c r="H128" s="62" t="s">
        <v>529</v>
      </c>
      <c r="I128" s="62" t="s">
        <v>529</v>
      </c>
      <c r="J128" s="62" t="s">
        <v>529</v>
      </c>
    </row>
    <row r="129" spans="1:10" ht="13.5" customHeight="1">
      <c r="A129" s="59">
        <v>2</v>
      </c>
      <c r="B129" s="92">
        <v>1</v>
      </c>
      <c r="C129" s="59">
        <v>3</v>
      </c>
      <c r="D129" s="59">
        <v>8</v>
      </c>
      <c r="E129" s="60">
        <v>2138</v>
      </c>
      <c r="F129" s="96" t="s">
        <v>641</v>
      </c>
      <c r="G129" s="61" t="s">
        <v>529</v>
      </c>
      <c r="H129" s="62" t="s">
        <v>529</v>
      </c>
      <c r="I129" s="62" t="s">
        <v>529</v>
      </c>
      <c r="J129" s="62" t="s">
        <v>529</v>
      </c>
    </row>
    <row r="130" spans="1:10" ht="13.5" customHeight="1">
      <c r="A130" s="63">
        <v>2</v>
      </c>
      <c r="B130" s="93">
        <v>1</v>
      </c>
      <c r="C130" s="63">
        <v>3</v>
      </c>
      <c r="D130" s="63">
        <v>9</v>
      </c>
      <c r="E130" s="64">
        <v>2139</v>
      </c>
      <c r="F130" s="98" t="s">
        <v>642</v>
      </c>
      <c r="G130" s="65" t="s">
        <v>529</v>
      </c>
      <c r="H130" s="66" t="s">
        <v>529</v>
      </c>
      <c r="I130" s="66" t="s">
        <v>529</v>
      </c>
      <c r="J130" s="66" t="s">
        <v>529</v>
      </c>
    </row>
    <row r="131" spans="1:10" ht="13.5" customHeight="1">
      <c r="A131" s="52">
        <v>2</v>
      </c>
      <c r="B131" s="89">
        <v>1</v>
      </c>
      <c r="C131" s="52">
        <v>4</v>
      </c>
      <c r="D131" s="52">
        <v>0</v>
      </c>
      <c r="E131" s="52">
        <v>2140</v>
      </c>
      <c r="F131" s="97" t="s">
        <v>643</v>
      </c>
      <c r="G131" s="53" t="s">
        <v>529</v>
      </c>
      <c r="H131" s="54" t="s">
        <v>529</v>
      </c>
      <c r="I131" s="54" t="s">
        <v>529</v>
      </c>
      <c r="J131" s="54" t="s">
        <v>529</v>
      </c>
    </row>
    <row r="132" spans="1:10" ht="13.5" customHeight="1">
      <c r="A132" s="55">
        <v>2</v>
      </c>
      <c r="B132" s="91">
        <v>1</v>
      </c>
      <c r="C132" s="55">
        <v>4</v>
      </c>
      <c r="D132" s="55">
        <v>1</v>
      </c>
      <c r="E132" s="56">
        <v>2141</v>
      </c>
      <c r="F132" s="95" t="s">
        <v>644</v>
      </c>
      <c r="G132" s="57" t="s">
        <v>529</v>
      </c>
      <c r="H132" s="58" t="s">
        <v>529</v>
      </c>
      <c r="I132" s="58" t="s">
        <v>529</v>
      </c>
      <c r="J132" s="58" t="s">
        <v>529</v>
      </c>
    </row>
    <row r="133" spans="1:10" ht="13.5" customHeight="1">
      <c r="A133" s="59">
        <v>2</v>
      </c>
      <c r="B133" s="92">
        <v>1</v>
      </c>
      <c r="C133" s="59">
        <v>4</v>
      </c>
      <c r="D133" s="59">
        <v>2</v>
      </c>
      <c r="E133" s="60">
        <v>2142</v>
      </c>
      <c r="F133" s="96" t="s">
        <v>645</v>
      </c>
      <c r="G133" s="61" t="s">
        <v>529</v>
      </c>
      <c r="H133" s="62" t="s">
        <v>529</v>
      </c>
      <c r="I133" s="62" t="s">
        <v>529</v>
      </c>
      <c r="J133" s="62" t="s">
        <v>529</v>
      </c>
    </row>
    <row r="134" spans="1:10" ht="13.5" customHeight="1">
      <c r="A134" s="59">
        <v>2</v>
      </c>
      <c r="B134" s="93">
        <v>1</v>
      </c>
      <c r="C134" s="59">
        <v>4</v>
      </c>
      <c r="D134" s="59">
        <v>3</v>
      </c>
      <c r="E134" s="60">
        <v>2143</v>
      </c>
      <c r="F134" s="96" t="s">
        <v>646</v>
      </c>
      <c r="G134" s="61" t="s">
        <v>529</v>
      </c>
      <c r="H134" s="62" t="s">
        <v>529</v>
      </c>
      <c r="I134" s="62" t="s">
        <v>529</v>
      </c>
      <c r="J134" s="62" t="s">
        <v>529</v>
      </c>
    </row>
    <row r="135" spans="1:10" ht="13.5" customHeight="1">
      <c r="A135" s="52">
        <v>2</v>
      </c>
      <c r="B135" s="89">
        <v>1</v>
      </c>
      <c r="C135" s="52">
        <v>5</v>
      </c>
      <c r="D135" s="52">
        <v>0</v>
      </c>
      <c r="E135" s="52">
        <v>2150</v>
      </c>
      <c r="F135" s="97" t="s">
        <v>647</v>
      </c>
      <c r="G135" s="53" t="s">
        <v>529</v>
      </c>
      <c r="H135" s="54" t="s">
        <v>529</v>
      </c>
      <c r="I135" s="54" t="s">
        <v>529</v>
      </c>
      <c r="J135" s="54" t="s">
        <v>529</v>
      </c>
    </row>
    <row r="136" spans="1:10" ht="13.5" customHeight="1">
      <c r="A136" s="55">
        <v>2</v>
      </c>
      <c r="B136" s="91">
        <v>1</v>
      </c>
      <c r="C136" s="55">
        <v>5</v>
      </c>
      <c r="D136" s="55">
        <v>1</v>
      </c>
      <c r="E136" s="56">
        <v>2151</v>
      </c>
      <c r="F136" s="95" t="s">
        <v>648</v>
      </c>
      <c r="G136" s="67" t="s">
        <v>529</v>
      </c>
      <c r="H136" s="58" t="s">
        <v>529</v>
      </c>
      <c r="I136" s="58" t="s">
        <v>529</v>
      </c>
      <c r="J136" s="58" t="s">
        <v>529</v>
      </c>
    </row>
    <row r="137" spans="1:10" ht="13.5" customHeight="1">
      <c r="A137" s="59">
        <v>2</v>
      </c>
      <c r="B137" s="92">
        <v>1</v>
      </c>
      <c r="C137" s="59">
        <v>5</v>
      </c>
      <c r="D137" s="59">
        <v>2</v>
      </c>
      <c r="E137" s="60">
        <v>2152</v>
      </c>
      <c r="F137" s="96" t="s">
        <v>649</v>
      </c>
      <c r="G137" s="61" t="s">
        <v>529</v>
      </c>
      <c r="H137" s="62" t="s">
        <v>529</v>
      </c>
      <c r="I137" s="62" t="s">
        <v>529</v>
      </c>
      <c r="J137" s="62" t="s">
        <v>529</v>
      </c>
    </row>
    <row r="138" spans="1:10" ht="13.5" customHeight="1">
      <c r="A138" s="59">
        <v>2</v>
      </c>
      <c r="B138" s="92">
        <v>1</v>
      </c>
      <c r="C138" s="59">
        <v>5</v>
      </c>
      <c r="D138" s="59">
        <v>3</v>
      </c>
      <c r="E138" s="60">
        <v>2153</v>
      </c>
      <c r="F138" s="96" t="s">
        <v>650</v>
      </c>
      <c r="G138" s="61" t="s">
        <v>529</v>
      </c>
      <c r="H138" s="62" t="s">
        <v>529</v>
      </c>
      <c r="I138" s="62" t="s">
        <v>529</v>
      </c>
      <c r="J138" s="62" t="s">
        <v>529</v>
      </c>
    </row>
    <row r="139" spans="1:10" ht="13.5" customHeight="1">
      <c r="A139" s="59">
        <v>2</v>
      </c>
      <c r="B139" s="93">
        <v>1</v>
      </c>
      <c r="C139" s="59">
        <v>5</v>
      </c>
      <c r="D139" s="59">
        <v>4</v>
      </c>
      <c r="E139" s="60">
        <v>2154</v>
      </c>
      <c r="F139" s="96" t="s">
        <v>651</v>
      </c>
      <c r="G139" s="61" t="s">
        <v>529</v>
      </c>
      <c r="H139" s="62" t="s">
        <v>529</v>
      </c>
      <c r="I139" s="62" t="s">
        <v>529</v>
      </c>
      <c r="J139" s="62" t="s">
        <v>529</v>
      </c>
    </row>
    <row r="140" spans="1:10" ht="13.5" customHeight="1">
      <c r="A140" s="52">
        <v>2</v>
      </c>
      <c r="B140" s="89">
        <v>1</v>
      </c>
      <c r="C140" s="52">
        <v>6</v>
      </c>
      <c r="D140" s="52">
        <v>0</v>
      </c>
      <c r="E140" s="52">
        <v>2160</v>
      </c>
      <c r="F140" s="97" t="s">
        <v>652</v>
      </c>
      <c r="G140" s="53" t="s">
        <v>529</v>
      </c>
      <c r="H140" s="54" t="s">
        <v>529</v>
      </c>
      <c r="I140" s="54" t="s">
        <v>529</v>
      </c>
      <c r="J140" s="54" t="s">
        <v>529</v>
      </c>
    </row>
    <row r="141" spans="1:10" ht="13.5" customHeight="1">
      <c r="A141" s="55">
        <v>2</v>
      </c>
      <c r="B141" s="91">
        <v>1</v>
      </c>
      <c r="C141" s="55">
        <v>6</v>
      </c>
      <c r="D141" s="55">
        <v>1</v>
      </c>
      <c r="E141" s="56">
        <v>2161</v>
      </c>
      <c r="F141" s="95" t="s">
        <v>653</v>
      </c>
      <c r="G141" s="57" t="s">
        <v>529</v>
      </c>
      <c r="H141" s="58" t="s">
        <v>529</v>
      </c>
      <c r="I141" s="58" t="s">
        <v>529</v>
      </c>
      <c r="J141" s="58" t="s">
        <v>529</v>
      </c>
    </row>
    <row r="142" spans="1:10" ht="13.5" customHeight="1">
      <c r="A142" s="59">
        <v>2</v>
      </c>
      <c r="B142" s="92">
        <v>1</v>
      </c>
      <c r="C142" s="59">
        <v>6</v>
      </c>
      <c r="D142" s="59">
        <v>2</v>
      </c>
      <c r="E142" s="60">
        <v>2162</v>
      </c>
      <c r="F142" s="96" t="s">
        <v>654</v>
      </c>
      <c r="G142" s="61" t="s">
        <v>529</v>
      </c>
      <c r="H142" s="62" t="s">
        <v>529</v>
      </c>
      <c r="I142" s="62" t="s">
        <v>529</v>
      </c>
      <c r="J142" s="62" t="s">
        <v>529</v>
      </c>
    </row>
    <row r="143" spans="1:10" ht="13.5" customHeight="1">
      <c r="A143" s="59">
        <v>2</v>
      </c>
      <c r="B143" s="93">
        <v>1</v>
      </c>
      <c r="C143" s="59">
        <v>6</v>
      </c>
      <c r="D143" s="59">
        <v>3</v>
      </c>
      <c r="E143" s="60">
        <v>2163</v>
      </c>
      <c r="F143" s="96" t="s">
        <v>655</v>
      </c>
      <c r="G143" s="61" t="s">
        <v>529</v>
      </c>
      <c r="H143" s="62" t="s">
        <v>529</v>
      </c>
      <c r="I143" s="62" t="s">
        <v>529</v>
      </c>
      <c r="J143" s="62" t="s">
        <v>529</v>
      </c>
    </row>
    <row r="144" spans="1:10" ht="13.5" customHeight="1">
      <c r="A144" s="42">
        <v>3</v>
      </c>
      <c r="B144" s="88">
        <v>0</v>
      </c>
      <c r="C144" s="42">
        <v>0</v>
      </c>
      <c r="D144" s="42">
        <v>0</v>
      </c>
      <c r="E144" s="42">
        <v>3000</v>
      </c>
      <c r="F144" s="100" t="s">
        <v>656</v>
      </c>
      <c r="G144" s="44" t="s">
        <v>553</v>
      </c>
      <c r="H144" s="45" t="s">
        <v>553</v>
      </c>
      <c r="I144" s="45" t="s">
        <v>553</v>
      </c>
      <c r="J144" s="45" t="s">
        <v>553</v>
      </c>
    </row>
    <row r="145" spans="1:10" ht="13.5" customHeight="1">
      <c r="A145" s="46">
        <v>3</v>
      </c>
      <c r="B145" s="90">
        <v>1</v>
      </c>
      <c r="C145" s="46">
        <v>0</v>
      </c>
      <c r="D145" s="46">
        <v>0</v>
      </c>
      <c r="E145" s="46">
        <v>3100</v>
      </c>
      <c r="F145" s="99" t="s">
        <v>515</v>
      </c>
      <c r="G145" s="48" t="s">
        <v>553</v>
      </c>
      <c r="H145" s="49" t="s">
        <v>553</v>
      </c>
      <c r="I145" s="49" t="s">
        <v>553</v>
      </c>
      <c r="J145" s="49" t="s">
        <v>553</v>
      </c>
    </row>
    <row r="146" spans="1:10" ht="13.5" customHeight="1">
      <c r="A146" s="52">
        <v>3</v>
      </c>
      <c r="B146" s="89">
        <v>1</v>
      </c>
      <c r="C146" s="52">
        <v>1</v>
      </c>
      <c r="D146" s="52">
        <v>0</v>
      </c>
      <c r="E146" s="52">
        <v>3110</v>
      </c>
      <c r="F146" s="97" t="s">
        <v>657</v>
      </c>
      <c r="G146" s="53" t="s">
        <v>553</v>
      </c>
      <c r="H146" s="54" t="s">
        <v>553</v>
      </c>
      <c r="I146" s="54" t="s">
        <v>553</v>
      </c>
      <c r="J146" s="54" t="s">
        <v>553</v>
      </c>
    </row>
    <row r="147" spans="1:10" ht="13.5" customHeight="1">
      <c r="A147" s="55">
        <v>3</v>
      </c>
      <c r="B147" s="91">
        <v>1</v>
      </c>
      <c r="C147" s="55">
        <v>1</v>
      </c>
      <c r="D147" s="55">
        <v>1</v>
      </c>
      <c r="E147" s="56">
        <v>3111</v>
      </c>
      <c r="F147" s="95" t="s">
        <v>658</v>
      </c>
      <c r="G147" s="57" t="s">
        <v>553</v>
      </c>
      <c r="H147" s="58" t="s">
        <v>553</v>
      </c>
      <c r="I147" s="58" t="s">
        <v>553</v>
      </c>
      <c r="J147" s="58" t="s">
        <v>553</v>
      </c>
    </row>
    <row r="148" spans="1:10" ht="13.5" customHeight="1">
      <c r="A148" s="63">
        <v>3</v>
      </c>
      <c r="B148" s="93">
        <v>1</v>
      </c>
      <c r="C148" s="63">
        <v>1</v>
      </c>
      <c r="D148" s="63">
        <v>2</v>
      </c>
      <c r="E148" s="64">
        <v>3112</v>
      </c>
      <c r="F148" s="98" t="s">
        <v>659</v>
      </c>
      <c r="G148" s="65" t="s">
        <v>553</v>
      </c>
      <c r="H148" s="66" t="s">
        <v>553</v>
      </c>
      <c r="I148" s="66" t="s">
        <v>553</v>
      </c>
      <c r="J148" s="66" t="s">
        <v>553</v>
      </c>
    </row>
    <row r="149" spans="1:10" ht="13.5" customHeight="1">
      <c r="A149" s="52">
        <v>3</v>
      </c>
      <c r="B149" s="89">
        <v>1</v>
      </c>
      <c r="C149" s="52">
        <v>2</v>
      </c>
      <c r="D149" s="52">
        <v>0</v>
      </c>
      <c r="E149" s="52">
        <v>3120</v>
      </c>
      <c r="F149" s="97" t="s">
        <v>660</v>
      </c>
      <c r="G149" s="53" t="s">
        <v>553</v>
      </c>
      <c r="H149" s="54" t="s">
        <v>553</v>
      </c>
      <c r="I149" s="54" t="s">
        <v>553</v>
      </c>
      <c r="J149" s="54" t="s">
        <v>553</v>
      </c>
    </row>
    <row r="150" spans="1:10" ht="13.5" customHeight="1">
      <c r="A150" s="55">
        <v>3</v>
      </c>
      <c r="B150" s="91">
        <v>1</v>
      </c>
      <c r="C150" s="55">
        <v>2</v>
      </c>
      <c r="D150" s="55">
        <v>1</v>
      </c>
      <c r="E150" s="56">
        <v>3121</v>
      </c>
      <c r="F150" s="95" t="s">
        <v>658</v>
      </c>
      <c r="G150" s="57" t="s">
        <v>553</v>
      </c>
      <c r="H150" s="58" t="s">
        <v>553</v>
      </c>
      <c r="I150" s="58" t="s">
        <v>553</v>
      </c>
      <c r="J150" s="58" t="s">
        <v>553</v>
      </c>
    </row>
    <row r="151" spans="1:10" ht="13.5" customHeight="1">
      <c r="A151" s="63">
        <v>3</v>
      </c>
      <c r="B151" s="93">
        <v>1</v>
      </c>
      <c r="C151" s="63">
        <v>2</v>
      </c>
      <c r="D151" s="63">
        <v>2</v>
      </c>
      <c r="E151" s="64">
        <v>3122</v>
      </c>
      <c r="F151" s="98" t="s">
        <v>659</v>
      </c>
      <c r="G151" s="65" t="s">
        <v>553</v>
      </c>
      <c r="H151" s="66" t="s">
        <v>553</v>
      </c>
      <c r="I151" s="66" t="s">
        <v>553</v>
      </c>
      <c r="J151" s="66" t="s">
        <v>553</v>
      </c>
    </row>
    <row r="152" spans="1:10" ht="13.5" customHeight="1">
      <c r="A152" s="52">
        <v>3</v>
      </c>
      <c r="B152" s="89">
        <v>1</v>
      </c>
      <c r="C152" s="52">
        <v>3</v>
      </c>
      <c r="D152" s="52">
        <v>0</v>
      </c>
      <c r="E152" s="52">
        <v>3130</v>
      </c>
      <c r="F152" s="97" t="s">
        <v>661</v>
      </c>
      <c r="G152" s="53" t="s">
        <v>553</v>
      </c>
      <c r="H152" s="54" t="s">
        <v>553</v>
      </c>
      <c r="I152" s="54" t="s">
        <v>553</v>
      </c>
      <c r="J152" s="54" t="s">
        <v>553</v>
      </c>
    </row>
    <row r="153" spans="1:10" ht="13.5" customHeight="1">
      <c r="A153" s="55">
        <v>3</v>
      </c>
      <c r="B153" s="91">
        <v>1</v>
      </c>
      <c r="C153" s="55">
        <v>3</v>
      </c>
      <c r="D153" s="55">
        <v>1</v>
      </c>
      <c r="E153" s="56">
        <v>3131</v>
      </c>
      <c r="F153" s="95" t="s">
        <v>658</v>
      </c>
      <c r="G153" s="57" t="s">
        <v>553</v>
      </c>
      <c r="H153" s="58" t="s">
        <v>553</v>
      </c>
      <c r="I153" s="58" t="s">
        <v>553</v>
      </c>
      <c r="J153" s="58" t="s">
        <v>553</v>
      </c>
    </row>
    <row r="154" spans="1:10" ht="13.5" customHeight="1">
      <c r="A154" s="63">
        <v>3</v>
      </c>
      <c r="B154" s="93">
        <v>1</v>
      </c>
      <c r="C154" s="63">
        <v>3</v>
      </c>
      <c r="D154" s="63">
        <v>2</v>
      </c>
      <c r="E154" s="64">
        <v>3132</v>
      </c>
      <c r="F154" s="98" t="s">
        <v>659</v>
      </c>
      <c r="G154" s="65" t="s">
        <v>553</v>
      </c>
      <c r="H154" s="66" t="s">
        <v>553</v>
      </c>
      <c r="I154" s="66" t="s">
        <v>553</v>
      </c>
      <c r="J154" s="66" t="s">
        <v>553</v>
      </c>
    </row>
    <row r="155" spans="1:10" ht="13.5" customHeight="1">
      <c r="A155" s="52">
        <v>3</v>
      </c>
      <c r="B155" s="89">
        <v>1</v>
      </c>
      <c r="C155" s="52">
        <v>4</v>
      </c>
      <c r="D155" s="52">
        <v>0</v>
      </c>
      <c r="E155" s="52">
        <v>3140</v>
      </c>
      <c r="F155" s="97" t="s">
        <v>662</v>
      </c>
      <c r="G155" s="53" t="s">
        <v>553</v>
      </c>
      <c r="H155" s="54" t="s">
        <v>553</v>
      </c>
      <c r="I155" s="54" t="s">
        <v>553</v>
      </c>
      <c r="J155" s="54" t="s">
        <v>553</v>
      </c>
    </row>
    <row r="156" spans="1:10" ht="13.5" customHeight="1">
      <c r="A156" s="55">
        <v>3</v>
      </c>
      <c r="B156" s="91">
        <v>1</v>
      </c>
      <c r="C156" s="55">
        <v>4</v>
      </c>
      <c r="D156" s="55">
        <v>1</v>
      </c>
      <c r="E156" s="56">
        <v>3141</v>
      </c>
      <c r="F156" s="95" t="s">
        <v>658</v>
      </c>
      <c r="G156" s="57" t="s">
        <v>553</v>
      </c>
      <c r="H156" s="58" t="s">
        <v>553</v>
      </c>
      <c r="I156" s="58" t="s">
        <v>553</v>
      </c>
      <c r="J156" s="58" t="s">
        <v>553</v>
      </c>
    </row>
    <row r="157" spans="1:10" ht="13.5" customHeight="1">
      <c r="A157" s="63">
        <v>3</v>
      </c>
      <c r="B157" s="93">
        <v>1</v>
      </c>
      <c r="C157" s="63">
        <v>4</v>
      </c>
      <c r="D157" s="63">
        <v>2</v>
      </c>
      <c r="E157" s="64">
        <v>3142</v>
      </c>
      <c r="F157" s="98" t="s">
        <v>659</v>
      </c>
      <c r="G157" s="65" t="s">
        <v>553</v>
      </c>
      <c r="H157" s="66" t="s">
        <v>553</v>
      </c>
      <c r="I157" s="66" t="s">
        <v>553</v>
      </c>
      <c r="J157" s="66" t="s">
        <v>553</v>
      </c>
    </row>
    <row r="158" spans="1:10" ht="13.5" customHeight="1">
      <c r="A158" s="52">
        <v>3</v>
      </c>
      <c r="B158" s="89">
        <v>1</v>
      </c>
      <c r="C158" s="52">
        <v>5</v>
      </c>
      <c r="D158" s="52">
        <v>0</v>
      </c>
      <c r="E158" s="52">
        <v>3150</v>
      </c>
      <c r="F158" s="97" t="s">
        <v>663</v>
      </c>
      <c r="G158" s="53" t="s">
        <v>553</v>
      </c>
      <c r="H158" s="54" t="s">
        <v>553</v>
      </c>
      <c r="I158" s="54" t="s">
        <v>553</v>
      </c>
      <c r="J158" s="54" t="s">
        <v>553</v>
      </c>
    </row>
    <row r="159" spans="1:10" ht="13.5" customHeight="1">
      <c r="A159" s="55">
        <v>3</v>
      </c>
      <c r="B159" s="91">
        <v>1</v>
      </c>
      <c r="C159" s="55">
        <v>5</v>
      </c>
      <c r="D159" s="55">
        <v>1</v>
      </c>
      <c r="E159" s="56">
        <v>3151</v>
      </c>
      <c r="F159" s="95" t="s">
        <v>658</v>
      </c>
      <c r="G159" s="57" t="s">
        <v>553</v>
      </c>
      <c r="H159" s="58" t="s">
        <v>553</v>
      </c>
      <c r="I159" s="58" t="s">
        <v>553</v>
      </c>
      <c r="J159" s="58" t="s">
        <v>553</v>
      </c>
    </row>
    <row r="160" spans="1:10" ht="13.5" customHeight="1">
      <c r="A160" s="63">
        <v>3</v>
      </c>
      <c r="B160" s="93">
        <v>1</v>
      </c>
      <c r="C160" s="63">
        <v>5</v>
      </c>
      <c r="D160" s="63">
        <v>2</v>
      </c>
      <c r="E160" s="64">
        <v>3152</v>
      </c>
      <c r="F160" s="98" t="s">
        <v>659</v>
      </c>
      <c r="G160" s="65" t="s">
        <v>553</v>
      </c>
      <c r="H160" s="66" t="s">
        <v>553</v>
      </c>
      <c r="I160" s="66" t="s">
        <v>553</v>
      </c>
      <c r="J160" s="66" t="s">
        <v>553</v>
      </c>
    </row>
    <row r="161" spans="1:10" ht="13.5" customHeight="1">
      <c r="A161" s="52">
        <v>3</v>
      </c>
      <c r="B161" s="89">
        <v>1</v>
      </c>
      <c r="C161" s="52">
        <v>6</v>
      </c>
      <c r="D161" s="52">
        <v>0</v>
      </c>
      <c r="E161" s="52">
        <v>3160</v>
      </c>
      <c r="F161" s="97" t="s">
        <v>664</v>
      </c>
      <c r="G161" s="53" t="s">
        <v>553</v>
      </c>
      <c r="H161" s="54" t="s">
        <v>553</v>
      </c>
      <c r="I161" s="54" t="s">
        <v>553</v>
      </c>
      <c r="J161" s="54" t="s">
        <v>553</v>
      </c>
    </row>
    <row r="162" spans="1:10" ht="13.5" customHeight="1">
      <c r="A162" s="63">
        <v>3</v>
      </c>
      <c r="B162" s="103">
        <v>1</v>
      </c>
      <c r="C162" s="63">
        <v>6</v>
      </c>
      <c r="D162" s="63">
        <v>2</v>
      </c>
      <c r="E162" s="64">
        <v>3162</v>
      </c>
      <c r="F162" s="98" t="s">
        <v>659</v>
      </c>
      <c r="G162" s="65" t="s">
        <v>553</v>
      </c>
      <c r="H162" s="66" t="s">
        <v>553</v>
      </c>
      <c r="I162" s="66" t="s">
        <v>553</v>
      </c>
      <c r="J162" s="66" t="s">
        <v>553</v>
      </c>
    </row>
    <row r="163" spans="1:10" ht="13.5" customHeight="1">
      <c r="A163" s="52">
        <v>3</v>
      </c>
      <c r="B163" s="89">
        <v>1</v>
      </c>
      <c r="C163" s="52">
        <v>9</v>
      </c>
      <c r="D163" s="52">
        <v>0</v>
      </c>
      <c r="E163" s="52">
        <v>3190</v>
      </c>
      <c r="F163" s="97" t="s">
        <v>541</v>
      </c>
      <c r="G163" s="53" t="s">
        <v>553</v>
      </c>
      <c r="H163" s="54" t="s">
        <v>553</v>
      </c>
      <c r="I163" s="54" t="s">
        <v>553</v>
      </c>
      <c r="J163" s="54" t="s">
        <v>553</v>
      </c>
    </row>
    <row r="164" spans="1:10" ht="13.5" customHeight="1">
      <c r="A164" s="59">
        <v>3</v>
      </c>
      <c r="B164" s="91">
        <v>1</v>
      </c>
      <c r="C164" s="59">
        <v>9</v>
      </c>
      <c r="D164" s="59">
        <v>7</v>
      </c>
      <c r="E164" s="60">
        <v>3197</v>
      </c>
      <c r="F164" s="96" t="s">
        <v>665</v>
      </c>
      <c r="G164" s="61" t="s">
        <v>553</v>
      </c>
      <c r="H164" s="62" t="s">
        <v>553</v>
      </c>
      <c r="I164" s="62" t="s">
        <v>553</v>
      </c>
      <c r="J164" s="62" t="s">
        <v>553</v>
      </c>
    </row>
    <row r="165" spans="1:10" ht="13.5" customHeight="1">
      <c r="A165" s="59">
        <v>3</v>
      </c>
      <c r="B165" s="92">
        <v>1</v>
      </c>
      <c r="C165" s="59">
        <v>9</v>
      </c>
      <c r="D165" s="59">
        <v>8</v>
      </c>
      <c r="E165" s="60">
        <v>3198</v>
      </c>
      <c r="F165" s="96" t="s">
        <v>666</v>
      </c>
      <c r="G165" s="61" t="s">
        <v>553</v>
      </c>
      <c r="H165" s="62" t="s">
        <v>553</v>
      </c>
      <c r="I165" s="62" t="s">
        <v>553</v>
      </c>
      <c r="J165" s="62" t="s">
        <v>553</v>
      </c>
    </row>
    <row r="166" spans="1:10" ht="13.5" customHeight="1">
      <c r="A166" s="63">
        <v>3</v>
      </c>
      <c r="B166" s="93">
        <v>1</v>
      </c>
      <c r="C166" s="63">
        <v>9</v>
      </c>
      <c r="D166" s="63">
        <v>9</v>
      </c>
      <c r="E166" s="64">
        <v>3199</v>
      </c>
      <c r="F166" s="98" t="s">
        <v>667</v>
      </c>
      <c r="G166" s="65" t="s">
        <v>553</v>
      </c>
      <c r="H166" s="66" t="s">
        <v>553</v>
      </c>
      <c r="I166" s="66" t="s">
        <v>553</v>
      </c>
      <c r="J166" s="66" t="s">
        <v>553</v>
      </c>
    </row>
    <row r="167" spans="1:10" ht="13.5" customHeight="1">
      <c r="A167" s="46">
        <v>3</v>
      </c>
      <c r="B167" s="90">
        <v>2</v>
      </c>
      <c r="C167" s="46">
        <v>0</v>
      </c>
      <c r="D167" s="46">
        <v>0</v>
      </c>
      <c r="E167" s="46">
        <v>3200</v>
      </c>
      <c r="F167" s="99" t="s">
        <v>668</v>
      </c>
      <c r="G167" s="48" t="s">
        <v>553</v>
      </c>
      <c r="H167" s="49" t="s">
        <v>553</v>
      </c>
      <c r="I167" s="49" t="s">
        <v>553</v>
      </c>
      <c r="J167" s="49" t="s">
        <v>553</v>
      </c>
    </row>
    <row r="168" spans="1:10" ht="13.5" customHeight="1">
      <c r="A168" s="52">
        <v>3</v>
      </c>
      <c r="B168" s="89">
        <v>2</v>
      </c>
      <c r="C168" s="52">
        <v>1</v>
      </c>
      <c r="D168" s="52">
        <v>0</v>
      </c>
      <c r="E168" s="52">
        <v>3210</v>
      </c>
      <c r="F168" s="97" t="s">
        <v>669</v>
      </c>
      <c r="G168" s="53" t="s">
        <v>553</v>
      </c>
      <c r="H168" s="54" t="s">
        <v>553</v>
      </c>
      <c r="I168" s="54" t="s">
        <v>553</v>
      </c>
      <c r="J168" s="54" t="s">
        <v>553</v>
      </c>
    </row>
    <row r="169" spans="1:10" ht="13.5" customHeight="1">
      <c r="A169" s="55">
        <v>3</v>
      </c>
      <c r="B169" s="91">
        <v>2</v>
      </c>
      <c r="C169" s="55">
        <v>1</v>
      </c>
      <c r="D169" s="55">
        <v>1</v>
      </c>
      <c r="E169" s="56">
        <v>3211</v>
      </c>
      <c r="F169" s="95" t="s">
        <v>670</v>
      </c>
      <c r="G169" s="57" t="s">
        <v>553</v>
      </c>
      <c r="H169" s="58" t="s">
        <v>553</v>
      </c>
      <c r="I169" s="58" t="s">
        <v>553</v>
      </c>
      <c r="J169" s="58" t="s">
        <v>553</v>
      </c>
    </row>
    <row r="170" spans="1:10" ht="13.5" customHeight="1">
      <c r="A170" s="59">
        <v>3</v>
      </c>
      <c r="B170" s="92">
        <v>2</v>
      </c>
      <c r="C170" s="59">
        <v>1</v>
      </c>
      <c r="D170" s="59">
        <v>2</v>
      </c>
      <c r="E170" s="60">
        <v>3212</v>
      </c>
      <c r="F170" s="96" t="s">
        <v>671</v>
      </c>
      <c r="G170" s="61" t="s">
        <v>553</v>
      </c>
      <c r="H170" s="62" t="s">
        <v>553</v>
      </c>
      <c r="I170" s="62" t="s">
        <v>553</v>
      </c>
      <c r="J170" s="62" t="s">
        <v>553</v>
      </c>
    </row>
    <row r="171" spans="1:10" ht="13.5" customHeight="1">
      <c r="A171" s="59">
        <v>3</v>
      </c>
      <c r="B171" s="92">
        <v>2</v>
      </c>
      <c r="C171" s="59">
        <v>1</v>
      </c>
      <c r="D171" s="59">
        <v>3</v>
      </c>
      <c r="E171" s="60">
        <v>3213</v>
      </c>
      <c r="F171" s="96" t="s">
        <v>672</v>
      </c>
      <c r="G171" s="61" t="s">
        <v>553</v>
      </c>
      <c r="H171" s="62" t="s">
        <v>553</v>
      </c>
      <c r="I171" s="62" t="s">
        <v>553</v>
      </c>
      <c r="J171" s="62" t="s">
        <v>553</v>
      </c>
    </row>
    <row r="172" spans="1:10" ht="13.5" customHeight="1">
      <c r="A172" s="59">
        <v>3</v>
      </c>
      <c r="B172" s="92">
        <v>2</v>
      </c>
      <c r="C172" s="59">
        <v>1</v>
      </c>
      <c r="D172" s="59">
        <v>4</v>
      </c>
      <c r="E172" s="60">
        <v>3214</v>
      </c>
      <c r="F172" s="96" t="s">
        <v>673</v>
      </c>
      <c r="G172" s="61" t="s">
        <v>553</v>
      </c>
      <c r="H172" s="62" t="s">
        <v>553</v>
      </c>
      <c r="I172" s="62" t="s">
        <v>553</v>
      </c>
      <c r="J172" s="62" t="s">
        <v>553</v>
      </c>
    </row>
    <row r="173" spans="1:10" ht="13.5" customHeight="1">
      <c r="A173" s="59">
        <v>3</v>
      </c>
      <c r="B173" s="93">
        <v>2</v>
      </c>
      <c r="C173" s="59">
        <v>1</v>
      </c>
      <c r="D173" s="59">
        <v>5</v>
      </c>
      <c r="E173" s="60">
        <v>3215</v>
      </c>
      <c r="F173" s="96" t="s">
        <v>674</v>
      </c>
      <c r="G173" s="61" t="s">
        <v>553</v>
      </c>
      <c r="H173" s="62" t="s">
        <v>553</v>
      </c>
      <c r="I173" s="62" t="s">
        <v>553</v>
      </c>
      <c r="J173" s="62" t="s">
        <v>553</v>
      </c>
    </row>
    <row r="174" spans="1:10" ht="13.5" customHeight="1">
      <c r="A174" s="52">
        <v>3</v>
      </c>
      <c r="B174" s="89">
        <v>2</v>
      </c>
      <c r="C174" s="52">
        <v>9</v>
      </c>
      <c r="D174" s="52">
        <v>0</v>
      </c>
      <c r="E174" s="52">
        <v>3290</v>
      </c>
      <c r="F174" s="97" t="s">
        <v>541</v>
      </c>
      <c r="G174" s="53" t="s">
        <v>553</v>
      </c>
      <c r="H174" s="54" t="s">
        <v>553</v>
      </c>
      <c r="I174" s="54" t="s">
        <v>553</v>
      </c>
      <c r="J174" s="54" t="s">
        <v>553</v>
      </c>
    </row>
    <row r="175" spans="1:10" ht="13.5" customHeight="1">
      <c r="A175" s="59">
        <v>3</v>
      </c>
      <c r="B175" s="91">
        <v>2</v>
      </c>
      <c r="C175" s="59">
        <v>9</v>
      </c>
      <c r="D175" s="59">
        <v>7</v>
      </c>
      <c r="E175" s="60">
        <v>3297</v>
      </c>
      <c r="F175" s="96" t="s">
        <v>665</v>
      </c>
      <c r="G175" s="61" t="s">
        <v>553</v>
      </c>
      <c r="H175" s="62" t="s">
        <v>553</v>
      </c>
      <c r="I175" s="62" t="s">
        <v>553</v>
      </c>
      <c r="J175" s="62" t="s">
        <v>553</v>
      </c>
    </row>
    <row r="176" spans="1:10" ht="13.5" customHeight="1">
      <c r="A176" s="59">
        <v>3</v>
      </c>
      <c r="B176" s="92">
        <v>2</v>
      </c>
      <c r="C176" s="59">
        <v>9</v>
      </c>
      <c r="D176" s="59">
        <v>8</v>
      </c>
      <c r="E176" s="60">
        <v>3298</v>
      </c>
      <c r="F176" s="96" t="s">
        <v>666</v>
      </c>
      <c r="G176" s="61" t="s">
        <v>553</v>
      </c>
      <c r="H176" s="62" t="s">
        <v>553</v>
      </c>
      <c r="I176" s="62" t="s">
        <v>553</v>
      </c>
      <c r="J176" s="62" t="s">
        <v>553</v>
      </c>
    </row>
    <row r="177" spans="1:10" ht="13.5" customHeight="1">
      <c r="A177" s="63">
        <v>3</v>
      </c>
      <c r="B177" s="93">
        <v>2</v>
      </c>
      <c r="C177" s="63">
        <v>9</v>
      </c>
      <c r="D177" s="63">
        <v>9</v>
      </c>
      <c r="E177" s="64">
        <v>3299</v>
      </c>
      <c r="F177" s="98" t="s">
        <v>667</v>
      </c>
      <c r="G177" s="65" t="s">
        <v>553</v>
      </c>
      <c r="H177" s="66" t="s">
        <v>553</v>
      </c>
      <c r="I177" s="66" t="s">
        <v>553</v>
      </c>
      <c r="J177" s="66" t="s">
        <v>553</v>
      </c>
    </row>
    <row r="178" spans="1:10" ht="13.5" customHeight="1">
      <c r="A178" s="46">
        <v>3</v>
      </c>
      <c r="B178" s="90">
        <v>3</v>
      </c>
      <c r="C178" s="46">
        <v>0</v>
      </c>
      <c r="D178" s="46">
        <v>0</v>
      </c>
      <c r="E178" s="46">
        <v>3300</v>
      </c>
      <c r="F178" s="99" t="s">
        <v>675</v>
      </c>
      <c r="G178" s="48" t="s">
        <v>553</v>
      </c>
      <c r="H178" s="49" t="s">
        <v>553</v>
      </c>
      <c r="I178" s="49" t="s">
        <v>553</v>
      </c>
      <c r="J178" s="49" t="s">
        <v>553</v>
      </c>
    </row>
    <row r="179" spans="1:10" ht="13.5" customHeight="1">
      <c r="A179" s="52">
        <v>3</v>
      </c>
      <c r="B179" s="89">
        <v>3</v>
      </c>
      <c r="C179" s="52">
        <v>1</v>
      </c>
      <c r="D179" s="52">
        <v>0</v>
      </c>
      <c r="E179" s="52">
        <v>3310</v>
      </c>
      <c r="F179" s="97" t="s">
        <v>676</v>
      </c>
      <c r="G179" s="53" t="s">
        <v>553</v>
      </c>
      <c r="H179" s="54" t="s">
        <v>553</v>
      </c>
      <c r="I179" s="54" t="s">
        <v>553</v>
      </c>
      <c r="J179" s="54" t="s">
        <v>553</v>
      </c>
    </row>
    <row r="180" spans="1:10" ht="13.5" customHeight="1">
      <c r="A180" s="52">
        <v>3</v>
      </c>
      <c r="B180" s="89">
        <v>3</v>
      </c>
      <c r="C180" s="52">
        <v>2</v>
      </c>
      <c r="D180" s="52">
        <v>0</v>
      </c>
      <c r="E180" s="52">
        <v>3320</v>
      </c>
      <c r="F180" s="97" t="s">
        <v>661</v>
      </c>
      <c r="G180" s="53" t="s">
        <v>553</v>
      </c>
      <c r="H180" s="54" t="s">
        <v>553</v>
      </c>
      <c r="I180" s="54" t="s">
        <v>553</v>
      </c>
      <c r="J180" s="54" t="s">
        <v>553</v>
      </c>
    </row>
    <row r="181" spans="1:10" ht="13.5" customHeight="1">
      <c r="A181" s="52">
        <v>3</v>
      </c>
      <c r="B181" s="89">
        <v>3</v>
      </c>
      <c r="C181" s="52">
        <v>3</v>
      </c>
      <c r="D181" s="52">
        <v>0</v>
      </c>
      <c r="E181" s="52">
        <v>3330</v>
      </c>
      <c r="F181" s="97" t="s">
        <v>662</v>
      </c>
      <c r="G181" s="53" t="s">
        <v>553</v>
      </c>
      <c r="H181" s="54" t="s">
        <v>553</v>
      </c>
      <c r="I181" s="54" t="s">
        <v>553</v>
      </c>
      <c r="J181" s="54" t="s">
        <v>553</v>
      </c>
    </row>
    <row r="182" spans="1:10" ht="13.5" customHeight="1">
      <c r="A182" s="55">
        <v>3</v>
      </c>
      <c r="B182" s="91">
        <v>3</v>
      </c>
      <c r="C182" s="55">
        <v>3</v>
      </c>
      <c r="D182" s="55">
        <v>1</v>
      </c>
      <c r="E182" s="56">
        <v>3331</v>
      </c>
      <c r="F182" s="95" t="s">
        <v>677</v>
      </c>
      <c r="G182" s="57" t="s">
        <v>553</v>
      </c>
      <c r="H182" s="58" t="s">
        <v>553</v>
      </c>
      <c r="I182" s="58" t="s">
        <v>553</v>
      </c>
      <c r="J182" s="58" t="s">
        <v>553</v>
      </c>
    </row>
    <row r="183" spans="1:10" ht="13.5" customHeight="1">
      <c r="A183" s="63">
        <v>3</v>
      </c>
      <c r="B183" s="93">
        <v>3</v>
      </c>
      <c r="C183" s="63">
        <v>3</v>
      </c>
      <c r="D183" s="63">
        <v>2</v>
      </c>
      <c r="E183" s="64">
        <v>3332</v>
      </c>
      <c r="F183" s="98" t="s">
        <v>678</v>
      </c>
      <c r="G183" s="65" t="s">
        <v>553</v>
      </c>
      <c r="H183" s="66" t="s">
        <v>553</v>
      </c>
      <c r="I183" s="66" t="s">
        <v>553</v>
      </c>
      <c r="J183" s="66" t="s">
        <v>553</v>
      </c>
    </row>
    <row r="184" spans="1:10" ht="13.5" customHeight="1">
      <c r="A184" s="52">
        <v>3</v>
      </c>
      <c r="B184" s="89">
        <v>3</v>
      </c>
      <c r="C184" s="52">
        <v>4</v>
      </c>
      <c r="D184" s="52">
        <v>0</v>
      </c>
      <c r="E184" s="52">
        <v>3340</v>
      </c>
      <c r="F184" s="97" t="s">
        <v>679</v>
      </c>
      <c r="G184" s="53" t="s">
        <v>553</v>
      </c>
      <c r="H184" s="54" t="s">
        <v>553</v>
      </c>
      <c r="I184" s="54" t="s">
        <v>553</v>
      </c>
      <c r="J184" s="54" t="s">
        <v>553</v>
      </c>
    </row>
    <row r="185" spans="1:10" ht="13.5" customHeight="1">
      <c r="A185" s="55">
        <v>3</v>
      </c>
      <c r="B185" s="91">
        <v>3</v>
      </c>
      <c r="C185" s="55">
        <v>4</v>
      </c>
      <c r="D185" s="55">
        <v>1</v>
      </c>
      <c r="E185" s="56">
        <v>3341</v>
      </c>
      <c r="F185" s="95" t="s">
        <v>670</v>
      </c>
      <c r="G185" s="57" t="s">
        <v>553</v>
      </c>
      <c r="H185" s="58" t="s">
        <v>553</v>
      </c>
      <c r="I185" s="58" t="s">
        <v>553</v>
      </c>
      <c r="J185" s="58" t="s">
        <v>553</v>
      </c>
    </row>
    <row r="186" spans="1:10" ht="13.5" customHeight="1">
      <c r="A186" s="59">
        <v>3</v>
      </c>
      <c r="B186" s="92">
        <v>3</v>
      </c>
      <c r="C186" s="59">
        <v>4</v>
      </c>
      <c r="D186" s="59">
        <v>2</v>
      </c>
      <c r="E186" s="60">
        <v>3342</v>
      </c>
      <c r="F186" s="96" t="s">
        <v>671</v>
      </c>
      <c r="G186" s="61" t="s">
        <v>553</v>
      </c>
      <c r="H186" s="62" t="s">
        <v>553</v>
      </c>
      <c r="I186" s="62" t="s">
        <v>553</v>
      </c>
      <c r="J186" s="62" t="s">
        <v>553</v>
      </c>
    </row>
    <row r="187" spans="1:10" ht="13.5" customHeight="1">
      <c r="A187" s="59">
        <v>3</v>
      </c>
      <c r="B187" s="92">
        <v>3</v>
      </c>
      <c r="C187" s="59">
        <v>4</v>
      </c>
      <c r="D187" s="59">
        <v>3</v>
      </c>
      <c r="E187" s="60">
        <v>3343</v>
      </c>
      <c r="F187" s="96" t="s">
        <v>672</v>
      </c>
      <c r="G187" s="61" t="s">
        <v>553</v>
      </c>
      <c r="H187" s="62" t="s">
        <v>553</v>
      </c>
      <c r="I187" s="62" t="s">
        <v>553</v>
      </c>
      <c r="J187" s="62" t="s">
        <v>553</v>
      </c>
    </row>
    <row r="188" spans="1:10" ht="13.5" customHeight="1">
      <c r="A188" s="59">
        <v>3</v>
      </c>
      <c r="B188" s="92">
        <v>3</v>
      </c>
      <c r="C188" s="59">
        <v>4</v>
      </c>
      <c r="D188" s="59">
        <v>4</v>
      </c>
      <c r="E188" s="60">
        <v>3344</v>
      </c>
      <c r="F188" s="96" t="s">
        <v>673</v>
      </c>
      <c r="G188" s="61" t="s">
        <v>553</v>
      </c>
      <c r="H188" s="62" t="s">
        <v>553</v>
      </c>
      <c r="I188" s="62" t="s">
        <v>553</v>
      </c>
      <c r="J188" s="62" t="s">
        <v>553</v>
      </c>
    </row>
    <row r="189" spans="1:10" ht="13.5" customHeight="1">
      <c r="A189" s="59">
        <v>3</v>
      </c>
      <c r="B189" s="93">
        <v>3</v>
      </c>
      <c r="C189" s="59">
        <v>4</v>
      </c>
      <c r="D189" s="59">
        <v>5</v>
      </c>
      <c r="E189" s="60">
        <v>3345</v>
      </c>
      <c r="F189" s="96" t="s">
        <v>674</v>
      </c>
      <c r="G189" s="61" t="s">
        <v>553</v>
      </c>
      <c r="H189" s="62" t="s">
        <v>553</v>
      </c>
      <c r="I189" s="62" t="s">
        <v>553</v>
      </c>
      <c r="J189" s="62" t="s">
        <v>553</v>
      </c>
    </row>
    <row r="190" spans="1:10" ht="13.5" customHeight="1">
      <c r="A190" s="52">
        <v>3</v>
      </c>
      <c r="B190" s="89">
        <v>3</v>
      </c>
      <c r="C190" s="52">
        <v>9</v>
      </c>
      <c r="D190" s="52">
        <v>0</v>
      </c>
      <c r="E190" s="52">
        <v>3390</v>
      </c>
      <c r="F190" s="97" t="s">
        <v>541</v>
      </c>
      <c r="G190" s="53" t="s">
        <v>553</v>
      </c>
      <c r="H190" s="54" t="s">
        <v>553</v>
      </c>
      <c r="I190" s="54" t="s">
        <v>553</v>
      </c>
      <c r="J190" s="54" t="s">
        <v>553</v>
      </c>
    </row>
    <row r="191" spans="1:10" ht="13.5" customHeight="1">
      <c r="A191" s="59">
        <v>3</v>
      </c>
      <c r="B191" s="91">
        <v>3</v>
      </c>
      <c r="C191" s="59">
        <v>9</v>
      </c>
      <c r="D191" s="59">
        <v>7</v>
      </c>
      <c r="E191" s="60">
        <v>3397</v>
      </c>
      <c r="F191" s="96" t="s">
        <v>665</v>
      </c>
      <c r="G191" s="61" t="s">
        <v>553</v>
      </c>
      <c r="H191" s="62" t="s">
        <v>553</v>
      </c>
      <c r="I191" s="62" t="s">
        <v>553</v>
      </c>
      <c r="J191" s="62" t="s">
        <v>553</v>
      </c>
    </row>
    <row r="192" spans="1:10" ht="13.5" customHeight="1">
      <c r="A192" s="59">
        <v>3</v>
      </c>
      <c r="B192" s="92">
        <v>3</v>
      </c>
      <c r="C192" s="59">
        <v>9</v>
      </c>
      <c r="D192" s="59">
        <v>8</v>
      </c>
      <c r="E192" s="60">
        <v>3398</v>
      </c>
      <c r="F192" s="96" t="s">
        <v>666</v>
      </c>
      <c r="G192" s="61" t="s">
        <v>553</v>
      </c>
      <c r="H192" s="62" t="s">
        <v>553</v>
      </c>
      <c r="I192" s="62" t="s">
        <v>553</v>
      </c>
      <c r="J192" s="62" t="s">
        <v>553</v>
      </c>
    </row>
    <row r="193" spans="1:10" ht="13.5" customHeight="1">
      <c r="A193" s="63">
        <v>3</v>
      </c>
      <c r="B193" s="93">
        <v>3</v>
      </c>
      <c r="C193" s="63">
        <v>9</v>
      </c>
      <c r="D193" s="63">
        <v>9</v>
      </c>
      <c r="E193" s="64">
        <v>3399</v>
      </c>
      <c r="F193" s="98" t="s">
        <v>667</v>
      </c>
      <c r="G193" s="65" t="s">
        <v>553</v>
      </c>
      <c r="H193" s="66" t="s">
        <v>553</v>
      </c>
      <c r="I193" s="66" t="s">
        <v>553</v>
      </c>
      <c r="J193" s="66" t="s">
        <v>553</v>
      </c>
    </row>
    <row r="194" spans="1:10" ht="13.5" customHeight="1">
      <c r="A194" s="46">
        <v>3</v>
      </c>
      <c r="B194" s="90">
        <v>4</v>
      </c>
      <c r="C194" s="46">
        <v>0</v>
      </c>
      <c r="D194" s="46">
        <v>0</v>
      </c>
      <c r="E194" s="46">
        <v>3400</v>
      </c>
      <c r="F194" s="99" t="s">
        <v>680</v>
      </c>
      <c r="G194" s="48" t="s">
        <v>553</v>
      </c>
      <c r="H194" s="49" t="s">
        <v>553</v>
      </c>
      <c r="I194" s="49" t="s">
        <v>553</v>
      </c>
      <c r="J194" s="49" t="s">
        <v>553</v>
      </c>
    </row>
    <row r="195" spans="1:10" ht="13.5" customHeight="1">
      <c r="A195" s="52">
        <v>3</v>
      </c>
      <c r="B195" s="89">
        <v>4</v>
      </c>
      <c r="C195" s="52">
        <v>1</v>
      </c>
      <c r="D195" s="52">
        <v>0</v>
      </c>
      <c r="E195" s="52">
        <v>3410</v>
      </c>
      <c r="F195" s="97" t="s">
        <v>681</v>
      </c>
      <c r="G195" s="53" t="s">
        <v>553</v>
      </c>
      <c r="H195" s="54" t="s">
        <v>553</v>
      </c>
      <c r="I195" s="54" t="s">
        <v>553</v>
      </c>
      <c r="J195" s="54" t="s">
        <v>553</v>
      </c>
    </row>
    <row r="196" spans="1:10" ht="13.5" customHeight="1">
      <c r="A196" s="52">
        <v>3</v>
      </c>
      <c r="B196" s="89">
        <v>4</v>
      </c>
      <c r="C196" s="52">
        <v>2</v>
      </c>
      <c r="D196" s="52">
        <v>0</v>
      </c>
      <c r="E196" s="52">
        <v>3420</v>
      </c>
      <c r="F196" s="97" t="s">
        <v>682</v>
      </c>
      <c r="G196" s="53" t="s">
        <v>553</v>
      </c>
      <c r="H196" s="54" t="s">
        <v>553</v>
      </c>
      <c r="I196" s="54" t="s">
        <v>553</v>
      </c>
      <c r="J196" s="54" t="s">
        <v>553</v>
      </c>
    </row>
    <row r="197" spans="1:10" ht="13.5" customHeight="1">
      <c r="A197" s="55">
        <v>3</v>
      </c>
      <c r="B197" s="91">
        <v>4</v>
      </c>
      <c r="C197" s="55">
        <v>2</v>
      </c>
      <c r="D197" s="55">
        <v>1</v>
      </c>
      <c r="E197" s="56">
        <v>3421</v>
      </c>
      <c r="F197" s="95" t="s">
        <v>670</v>
      </c>
      <c r="G197" s="57" t="s">
        <v>553</v>
      </c>
      <c r="H197" s="58" t="s">
        <v>553</v>
      </c>
      <c r="I197" s="58" t="s">
        <v>553</v>
      </c>
      <c r="J197" s="58" t="s">
        <v>553</v>
      </c>
    </row>
    <row r="198" spans="1:10" ht="13.5" customHeight="1">
      <c r="A198" s="59">
        <v>3</v>
      </c>
      <c r="B198" s="92">
        <v>4</v>
      </c>
      <c r="C198" s="59">
        <v>2</v>
      </c>
      <c r="D198" s="59">
        <v>2</v>
      </c>
      <c r="E198" s="60">
        <v>3422</v>
      </c>
      <c r="F198" s="96" t="s">
        <v>671</v>
      </c>
      <c r="G198" s="65" t="s">
        <v>553</v>
      </c>
      <c r="H198" s="62" t="s">
        <v>553</v>
      </c>
      <c r="I198" s="62" t="s">
        <v>553</v>
      </c>
      <c r="J198" s="62" t="s">
        <v>553</v>
      </c>
    </row>
    <row r="199" spans="1:10" ht="13.5" customHeight="1">
      <c r="A199" s="59">
        <v>3</v>
      </c>
      <c r="B199" s="92">
        <v>4</v>
      </c>
      <c r="C199" s="59">
        <v>2</v>
      </c>
      <c r="D199" s="59">
        <v>3</v>
      </c>
      <c r="E199" s="60">
        <v>3423</v>
      </c>
      <c r="F199" s="96" t="s">
        <v>672</v>
      </c>
      <c r="G199" s="61" t="s">
        <v>553</v>
      </c>
      <c r="H199" s="62" t="s">
        <v>553</v>
      </c>
      <c r="I199" s="62" t="s">
        <v>553</v>
      </c>
      <c r="J199" s="62" t="s">
        <v>553</v>
      </c>
    </row>
    <row r="200" spans="1:10" ht="13.5" customHeight="1">
      <c r="A200" s="59">
        <v>3</v>
      </c>
      <c r="B200" s="92">
        <v>4</v>
      </c>
      <c r="C200" s="59">
        <v>2</v>
      </c>
      <c r="D200" s="59">
        <v>4</v>
      </c>
      <c r="E200" s="60">
        <v>3424</v>
      </c>
      <c r="F200" s="96" t="s">
        <v>673</v>
      </c>
      <c r="G200" s="61" t="s">
        <v>553</v>
      </c>
      <c r="H200" s="62" t="s">
        <v>553</v>
      </c>
      <c r="I200" s="62" t="s">
        <v>553</v>
      </c>
      <c r="J200" s="62" t="s">
        <v>553</v>
      </c>
    </row>
    <row r="201" spans="1:10" ht="13.5" customHeight="1">
      <c r="A201" s="59">
        <v>3</v>
      </c>
      <c r="B201" s="93">
        <v>4</v>
      </c>
      <c r="C201" s="59">
        <v>2</v>
      </c>
      <c r="D201" s="59">
        <v>5</v>
      </c>
      <c r="E201" s="60">
        <v>3425</v>
      </c>
      <c r="F201" s="96" t="s">
        <v>674</v>
      </c>
      <c r="G201" s="61" t="s">
        <v>553</v>
      </c>
      <c r="H201" s="62" t="s">
        <v>553</v>
      </c>
      <c r="I201" s="62" t="s">
        <v>553</v>
      </c>
      <c r="J201" s="62" t="s">
        <v>553</v>
      </c>
    </row>
    <row r="202" spans="1:10" ht="13.5" customHeight="1">
      <c r="A202" s="52">
        <v>3</v>
      </c>
      <c r="B202" s="89">
        <v>4</v>
      </c>
      <c r="C202" s="52">
        <v>3</v>
      </c>
      <c r="D202" s="52">
        <v>0</v>
      </c>
      <c r="E202" s="52">
        <v>3430</v>
      </c>
      <c r="F202" s="97" t="s">
        <v>683</v>
      </c>
      <c r="G202" s="53" t="s">
        <v>553</v>
      </c>
      <c r="H202" s="54" t="s">
        <v>553</v>
      </c>
      <c r="I202" s="54" t="s">
        <v>553</v>
      </c>
      <c r="J202" s="54" t="s">
        <v>553</v>
      </c>
    </row>
    <row r="203" spans="1:10" ht="13.5" customHeight="1">
      <c r="A203" s="55">
        <v>3</v>
      </c>
      <c r="B203" s="91">
        <v>4</v>
      </c>
      <c r="C203" s="55">
        <v>3</v>
      </c>
      <c r="D203" s="55">
        <v>1</v>
      </c>
      <c r="E203" s="56">
        <v>3431</v>
      </c>
      <c r="F203" s="95" t="s">
        <v>670</v>
      </c>
      <c r="G203" s="57" t="s">
        <v>553</v>
      </c>
      <c r="H203" s="58" t="s">
        <v>553</v>
      </c>
      <c r="I203" s="58" t="s">
        <v>553</v>
      </c>
      <c r="J203" s="58" t="s">
        <v>553</v>
      </c>
    </row>
    <row r="204" spans="1:10" ht="13.5" customHeight="1">
      <c r="A204" s="59">
        <v>3</v>
      </c>
      <c r="B204" s="92">
        <v>4</v>
      </c>
      <c r="C204" s="59">
        <v>3</v>
      </c>
      <c r="D204" s="59">
        <v>2</v>
      </c>
      <c r="E204" s="60">
        <v>3432</v>
      </c>
      <c r="F204" s="96" t="s">
        <v>671</v>
      </c>
      <c r="G204" s="61" t="s">
        <v>553</v>
      </c>
      <c r="H204" s="62" t="s">
        <v>553</v>
      </c>
      <c r="I204" s="62" t="s">
        <v>553</v>
      </c>
      <c r="J204" s="62" t="s">
        <v>553</v>
      </c>
    </row>
    <row r="205" spans="1:10" ht="13.5" customHeight="1">
      <c r="A205" s="59">
        <v>3</v>
      </c>
      <c r="B205" s="92">
        <v>4</v>
      </c>
      <c r="C205" s="59">
        <v>3</v>
      </c>
      <c r="D205" s="59">
        <v>3</v>
      </c>
      <c r="E205" s="60">
        <v>3433</v>
      </c>
      <c r="F205" s="96" t="s">
        <v>672</v>
      </c>
      <c r="G205" s="61" t="s">
        <v>553</v>
      </c>
      <c r="H205" s="62" t="s">
        <v>553</v>
      </c>
      <c r="I205" s="62" t="s">
        <v>553</v>
      </c>
      <c r="J205" s="62" t="s">
        <v>553</v>
      </c>
    </row>
    <row r="206" spans="1:10" ht="13.5" customHeight="1">
      <c r="A206" s="59">
        <v>3</v>
      </c>
      <c r="B206" s="92">
        <v>4</v>
      </c>
      <c r="C206" s="59">
        <v>3</v>
      </c>
      <c r="D206" s="59">
        <v>4</v>
      </c>
      <c r="E206" s="60">
        <v>3434</v>
      </c>
      <c r="F206" s="96" t="s">
        <v>673</v>
      </c>
      <c r="G206" s="61" t="s">
        <v>553</v>
      </c>
      <c r="H206" s="62" t="s">
        <v>553</v>
      </c>
      <c r="I206" s="62" t="s">
        <v>553</v>
      </c>
      <c r="J206" s="62" t="s">
        <v>553</v>
      </c>
    </row>
    <row r="207" spans="1:10" ht="13.5" customHeight="1">
      <c r="A207" s="59">
        <v>3</v>
      </c>
      <c r="B207" s="93">
        <v>4</v>
      </c>
      <c r="C207" s="59">
        <v>3</v>
      </c>
      <c r="D207" s="59">
        <v>5</v>
      </c>
      <c r="E207" s="60">
        <v>3435</v>
      </c>
      <c r="F207" s="96" t="s">
        <v>674</v>
      </c>
      <c r="G207" s="61" t="s">
        <v>553</v>
      </c>
      <c r="H207" s="62" t="s">
        <v>553</v>
      </c>
      <c r="I207" s="62" t="s">
        <v>553</v>
      </c>
      <c r="J207" s="62" t="s">
        <v>553</v>
      </c>
    </row>
    <row r="208" spans="1:10" ht="13.5" customHeight="1">
      <c r="A208" s="52">
        <v>3</v>
      </c>
      <c r="B208" s="89">
        <v>4</v>
      </c>
      <c r="C208" s="52">
        <v>4</v>
      </c>
      <c r="D208" s="52">
        <v>0</v>
      </c>
      <c r="E208" s="52">
        <v>3440</v>
      </c>
      <c r="F208" s="97" t="s">
        <v>684</v>
      </c>
      <c r="G208" s="53" t="s">
        <v>553</v>
      </c>
      <c r="H208" s="54" t="s">
        <v>553</v>
      </c>
      <c r="I208" s="54" t="s">
        <v>553</v>
      </c>
      <c r="J208" s="54" t="s">
        <v>553</v>
      </c>
    </row>
    <row r="209" spans="1:10" ht="13.5" customHeight="1">
      <c r="A209" s="55">
        <v>3</v>
      </c>
      <c r="B209" s="91">
        <v>4</v>
      </c>
      <c r="C209" s="55">
        <v>4</v>
      </c>
      <c r="D209" s="55">
        <v>1</v>
      </c>
      <c r="E209" s="56">
        <v>3441</v>
      </c>
      <c r="F209" s="95" t="s">
        <v>670</v>
      </c>
      <c r="G209" s="57" t="s">
        <v>553</v>
      </c>
      <c r="H209" s="58" t="s">
        <v>553</v>
      </c>
      <c r="I209" s="58" t="s">
        <v>553</v>
      </c>
      <c r="J209" s="58" t="s">
        <v>553</v>
      </c>
    </row>
    <row r="210" spans="1:10" ht="13.5" customHeight="1">
      <c r="A210" s="59">
        <v>3</v>
      </c>
      <c r="B210" s="92">
        <v>4</v>
      </c>
      <c r="C210" s="59">
        <v>4</v>
      </c>
      <c r="D210" s="59">
        <v>2</v>
      </c>
      <c r="E210" s="60">
        <v>3442</v>
      </c>
      <c r="F210" s="96" t="s">
        <v>671</v>
      </c>
      <c r="G210" s="61" t="s">
        <v>553</v>
      </c>
      <c r="H210" s="62" t="s">
        <v>553</v>
      </c>
      <c r="I210" s="62" t="s">
        <v>553</v>
      </c>
      <c r="J210" s="62" t="s">
        <v>553</v>
      </c>
    </row>
    <row r="211" spans="1:10" ht="13.5" customHeight="1">
      <c r="A211" s="59">
        <v>3</v>
      </c>
      <c r="B211" s="92">
        <v>4</v>
      </c>
      <c r="C211" s="59">
        <v>4</v>
      </c>
      <c r="D211" s="59">
        <v>3</v>
      </c>
      <c r="E211" s="60">
        <v>3443</v>
      </c>
      <c r="F211" s="96" t="s">
        <v>672</v>
      </c>
      <c r="G211" s="61" t="s">
        <v>553</v>
      </c>
      <c r="H211" s="62" t="s">
        <v>553</v>
      </c>
      <c r="I211" s="62" t="s">
        <v>553</v>
      </c>
      <c r="J211" s="62" t="s">
        <v>553</v>
      </c>
    </row>
    <row r="212" spans="1:10" ht="13.5" customHeight="1">
      <c r="A212" s="59">
        <v>3</v>
      </c>
      <c r="B212" s="92">
        <v>4</v>
      </c>
      <c r="C212" s="59">
        <v>4</v>
      </c>
      <c r="D212" s="59">
        <v>4</v>
      </c>
      <c r="E212" s="60">
        <v>3444</v>
      </c>
      <c r="F212" s="96" t="s">
        <v>673</v>
      </c>
      <c r="G212" s="61" t="s">
        <v>553</v>
      </c>
      <c r="H212" s="62" t="s">
        <v>553</v>
      </c>
      <c r="I212" s="62" t="s">
        <v>553</v>
      </c>
      <c r="J212" s="62" t="s">
        <v>553</v>
      </c>
    </row>
    <row r="213" spans="1:10" ht="13.5" customHeight="1">
      <c r="A213" s="59">
        <v>3</v>
      </c>
      <c r="B213" s="93">
        <v>4</v>
      </c>
      <c r="C213" s="59">
        <v>4</v>
      </c>
      <c r="D213" s="59">
        <v>5</v>
      </c>
      <c r="E213" s="60">
        <v>3445</v>
      </c>
      <c r="F213" s="96" t="s">
        <v>674</v>
      </c>
      <c r="G213" s="61" t="s">
        <v>553</v>
      </c>
      <c r="H213" s="62" t="s">
        <v>553</v>
      </c>
      <c r="I213" s="62" t="s">
        <v>553</v>
      </c>
      <c r="J213" s="62" t="s">
        <v>553</v>
      </c>
    </row>
    <row r="214" spans="1:10" ht="13.5" customHeight="1">
      <c r="A214" s="52">
        <v>3</v>
      </c>
      <c r="B214" s="89">
        <v>4</v>
      </c>
      <c r="C214" s="52">
        <v>9</v>
      </c>
      <c r="D214" s="52">
        <v>0</v>
      </c>
      <c r="E214" s="52">
        <v>3490</v>
      </c>
      <c r="F214" s="97" t="s">
        <v>541</v>
      </c>
      <c r="G214" s="53" t="s">
        <v>553</v>
      </c>
      <c r="H214" s="54" t="s">
        <v>553</v>
      </c>
      <c r="I214" s="54" t="s">
        <v>553</v>
      </c>
      <c r="J214" s="54" t="s">
        <v>553</v>
      </c>
    </row>
    <row r="215" spans="1:10" ht="13.5" customHeight="1">
      <c r="A215" s="59">
        <v>3</v>
      </c>
      <c r="B215" s="91">
        <v>4</v>
      </c>
      <c r="C215" s="59">
        <v>9</v>
      </c>
      <c r="D215" s="59">
        <v>7</v>
      </c>
      <c r="E215" s="60">
        <v>3497</v>
      </c>
      <c r="F215" s="96" t="s">
        <v>665</v>
      </c>
      <c r="G215" s="61" t="s">
        <v>553</v>
      </c>
      <c r="H215" s="62" t="s">
        <v>553</v>
      </c>
      <c r="I215" s="62" t="s">
        <v>553</v>
      </c>
      <c r="J215" s="62" t="s">
        <v>553</v>
      </c>
    </row>
    <row r="216" spans="1:10" ht="13.5" customHeight="1">
      <c r="A216" s="59">
        <v>3</v>
      </c>
      <c r="B216" s="92">
        <v>4</v>
      </c>
      <c r="C216" s="59">
        <v>9</v>
      </c>
      <c r="D216" s="59">
        <v>8</v>
      </c>
      <c r="E216" s="60">
        <v>3498</v>
      </c>
      <c r="F216" s="96" t="s">
        <v>666</v>
      </c>
      <c r="G216" s="61" t="s">
        <v>553</v>
      </c>
      <c r="H216" s="62" t="s">
        <v>553</v>
      </c>
      <c r="I216" s="62" t="s">
        <v>553</v>
      </c>
      <c r="J216" s="62" t="s">
        <v>553</v>
      </c>
    </row>
    <row r="217" spans="1:10" ht="13.5" customHeight="1">
      <c r="A217" s="63">
        <v>3</v>
      </c>
      <c r="B217" s="93">
        <v>4</v>
      </c>
      <c r="C217" s="63">
        <v>9</v>
      </c>
      <c r="D217" s="63">
        <v>9</v>
      </c>
      <c r="E217" s="64">
        <v>3499</v>
      </c>
      <c r="F217" s="98" t="s">
        <v>667</v>
      </c>
      <c r="G217" s="65" t="s">
        <v>553</v>
      </c>
      <c r="H217" s="66" t="s">
        <v>553</v>
      </c>
      <c r="I217" s="66" t="s">
        <v>553</v>
      </c>
      <c r="J217" s="66" t="s">
        <v>553</v>
      </c>
    </row>
    <row r="218" spans="1:10" ht="13.5" customHeight="1">
      <c r="A218" s="46">
        <v>3</v>
      </c>
      <c r="B218" s="90">
        <v>5</v>
      </c>
      <c r="C218" s="46">
        <v>0</v>
      </c>
      <c r="D218" s="46">
        <v>0</v>
      </c>
      <c r="E218" s="46">
        <v>3500</v>
      </c>
      <c r="F218" s="99" t="s">
        <v>685</v>
      </c>
      <c r="G218" s="48" t="s">
        <v>553</v>
      </c>
      <c r="H218" s="49" t="s">
        <v>553</v>
      </c>
      <c r="I218" s="49" t="s">
        <v>553</v>
      </c>
      <c r="J218" s="49" t="s">
        <v>553</v>
      </c>
    </row>
    <row r="219" spans="1:10" ht="13.5" customHeight="1">
      <c r="A219" s="52">
        <v>3</v>
      </c>
      <c r="B219" s="89">
        <v>5</v>
      </c>
      <c r="C219" s="52">
        <v>2</v>
      </c>
      <c r="D219" s="52">
        <v>0</v>
      </c>
      <c r="E219" s="52">
        <v>3520</v>
      </c>
      <c r="F219" s="97" t="s">
        <v>685</v>
      </c>
      <c r="G219" s="53" t="s">
        <v>553</v>
      </c>
      <c r="H219" s="54" t="s">
        <v>553</v>
      </c>
      <c r="I219" s="54" t="s">
        <v>553</v>
      </c>
      <c r="J219" s="54" t="s">
        <v>553</v>
      </c>
    </row>
    <row r="220" spans="1:10" ht="13.5" customHeight="1">
      <c r="A220" s="55">
        <v>3</v>
      </c>
      <c r="B220" s="91">
        <v>5</v>
      </c>
      <c r="C220" s="55">
        <v>2</v>
      </c>
      <c r="D220" s="55">
        <v>1</v>
      </c>
      <c r="E220" s="56">
        <v>3521</v>
      </c>
      <c r="F220" s="95" t="s">
        <v>658</v>
      </c>
      <c r="G220" s="57" t="s">
        <v>553</v>
      </c>
      <c r="H220" s="58" t="s">
        <v>553</v>
      </c>
      <c r="I220" s="58" t="s">
        <v>553</v>
      </c>
      <c r="J220" s="58" t="s">
        <v>553</v>
      </c>
    </row>
    <row r="221" spans="1:10" ht="13.5" customHeight="1">
      <c r="A221" s="59">
        <v>3</v>
      </c>
      <c r="B221" s="92">
        <v>5</v>
      </c>
      <c r="C221" s="59">
        <v>2</v>
      </c>
      <c r="D221" s="59">
        <v>2</v>
      </c>
      <c r="E221" s="60">
        <v>3522</v>
      </c>
      <c r="F221" s="96" t="s">
        <v>659</v>
      </c>
      <c r="G221" s="61" t="s">
        <v>553</v>
      </c>
      <c r="H221" s="62" t="s">
        <v>553</v>
      </c>
      <c r="I221" s="62" t="s">
        <v>553</v>
      </c>
      <c r="J221" s="62" t="s">
        <v>553</v>
      </c>
    </row>
    <row r="222" spans="1:10" ht="13.5" customHeight="1">
      <c r="A222" s="59">
        <v>3</v>
      </c>
      <c r="B222" s="92">
        <v>5</v>
      </c>
      <c r="C222" s="59">
        <v>2</v>
      </c>
      <c r="D222" s="59">
        <v>3</v>
      </c>
      <c r="E222" s="60">
        <v>3523</v>
      </c>
      <c r="F222" s="96" t="s">
        <v>686</v>
      </c>
      <c r="G222" s="61" t="s">
        <v>553</v>
      </c>
      <c r="H222" s="62" t="s">
        <v>553</v>
      </c>
      <c r="I222" s="62" t="s">
        <v>553</v>
      </c>
      <c r="J222" s="62" t="s">
        <v>553</v>
      </c>
    </row>
    <row r="223" spans="1:10" ht="13.5" customHeight="1">
      <c r="A223" s="59">
        <v>3</v>
      </c>
      <c r="B223" s="92">
        <v>5</v>
      </c>
      <c r="C223" s="59">
        <v>2</v>
      </c>
      <c r="D223" s="59">
        <v>4</v>
      </c>
      <c r="E223" s="60">
        <v>3524</v>
      </c>
      <c r="F223" s="96" t="s">
        <v>687</v>
      </c>
      <c r="G223" s="61" t="s">
        <v>553</v>
      </c>
      <c r="H223" s="62" t="s">
        <v>553</v>
      </c>
      <c r="I223" s="62" t="s">
        <v>553</v>
      </c>
      <c r="J223" s="62" t="s">
        <v>553</v>
      </c>
    </row>
    <row r="224" spans="1:10" ht="13.5" customHeight="1">
      <c r="A224" s="59">
        <v>3</v>
      </c>
      <c r="B224" s="93">
        <v>5</v>
      </c>
      <c r="C224" s="59">
        <v>2</v>
      </c>
      <c r="D224" s="59">
        <v>5</v>
      </c>
      <c r="E224" s="60">
        <v>3525</v>
      </c>
      <c r="F224" s="96" t="s">
        <v>688</v>
      </c>
      <c r="G224" s="61" t="s">
        <v>553</v>
      </c>
      <c r="H224" s="62" t="s">
        <v>553</v>
      </c>
      <c r="I224" s="62" t="s">
        <v>553</v>
      </c>
      <c r="J224" s="62" t="s">
        <v>553</v>
      </c>
    </row>
    <row r="225" spans="1:10" ht="13.5" customHeight="1">
      <c r="A225" s="52">
        <v>3</v>
      </c>
      <c r="B225" s="89">
        <v>5</v>
      </c>
      <c r="C225" s="52">
        <v>9</v>
      </c>
      <c r="D225" s="52">
        <v>0</v>
      </c>
      <c r="E225" s="52">
        <v>3590</v>
      </c>
      <c r="F225" s="97" t="s">
        <v>541</v>
      </c>
      <c r="G225" s="53" t="s">
        <v>553</v>
      </c>
      <c r="H225" s="54" t="s">
        <v>553</v>
      </c>
      <c r="I225" s="54" t="s">
        <v>553</v>
      </c>
      <c r="J225" s="54" t="s">
        <v>553</v>
      </c>
    </row>
    <row r="226" spans="1:10" ht="13.5" customHeight="1">
      <c r="A226" s="59">
        <v>3</v>
      </c>
      <c r="B226" s="91">
        <v>5</v>
      </c>
      <c r="C226" s="59">
        <v>9</v>
      </c>
      <c r="D226" s="59">
        <v>7</v>
      </c>
      <c r="E226" s="60">
        <v>3597</v>
      </c>
      <c r="F226" s="96" t="s">
        <v>689</v>
      </c>
      <c r="G226" s="61" t="s">
        <v>553</v>
      </c>
      <c r="H226" s="62" t="s">
        <v>553</v>
      </c>
      <c r="I226" s="62" t="s">
        <v>553</v>
      </c>
      <c r="J226" s="62" t="s">
        <v>553</v>
      </c>
    </row>
    <row r="227" spans="1:10" ht="13.5" customHeight="1">
      <c r="A227" s="59">
        <v>3</v>
      </c>
      <c r="B227" s="92">
        <v>5</v>
      </c>
      <c r="C227" s="59">
        <v>9</v>
      </c>
      <c r="D227" s="59">
        <v>8</v>
      </c>
      <c r="E227" s="60">
        <v>3598</v>
      </c>
      <c r="F227" s="96" t="s">
        <v>666</v>
      </c>
      <c r="G227" s="61" t="s">
        <v>553</v>
      </c>
      <c r="H227" s="62" t="s">
        <v>553</v>
      </c>
      <c r="I227" s="62" t="s">
        <v>553</v>
      </c>
      <c r="J227" s="62" t="s">
        <v>553</v>
      </c>
    </row>
    <row r="228" spans="1:10" ht="13.5" customHeight="1">
      <c r="A228" s="63">
        <v>3</v>
      </c>
      <c r="B228" s="93">
        <v>5</v>
      </c>
      <c r="C228" s="63">
        <v>9</v>
      </c>
      <c r="D228" s="63">
        <v>9</v>
      </c>
      <c r="E228" s="64">
        <v>3599</v>
      </c>
      <c r="F228" s="98" t="s">
        <v>667</v>
      </c>
      <c r="G228" s="65" t="s">
        <v>553</v>
      </c>
      <c r="H228" s="66" t="s">
        <v>553</v>
      </c>
      <c r="I228" s="66" t="s">
        <v>553</v>
      </c>
      <c r="J228" s="66" t="s">
        <v>553</v>
      </c>
    </row>
    <row r="229" spans="1:10" ht="13.5" customHeight="1">
      <c r="A229" s="46">
        <v>3</v>
      </c>
      <c r="B229" s="90">
        <v>6</v>
      </c>
      <c r="C229" s="46">
        <v>0</v>
      </c>
      <c r="D229" s="46">
        <v>0</v>
      </c>
      <c r="E229" s="46">
        <v>3600</v>
      </c>
      <c r="F229" s="99" t="s">
        <v>690</v>
      </c>
      <c r="G229" s="48" t="s">
        <v>553</v>
      </c>
      <c r="H229" s="49" t="s">
        <v>553</v>
      </c>
      <c r="I229" s="49" t="s">
        <v>553</v>
      </c>
      <c r="J229" s="49" t="s">
        <v>553</v>
      </c>
    </row>
    <row r="230" spans="1:10" ht="13.5" customHeight="1">
      <c r="A230" s="52">
        <v>3</v>
      </c>
      <c r="B230" s="89">
        <v>6</v>
      </c>
      <c r="C230" s="52">
        <v>1</v>
      </c>
      <c r="D230" s="52">
        <v>0</v>
      </c>
      <c r="E230" s="52">
        <v>3610</v>
      </c>
      <c r="F230" s="97" t="s">
        <v>691</v>
      </c>
      <c r="G230" s="53" t="s">
        <v>553</v>
      </c>
      <c r="H230" s="54" t="s">
        <v>553</v>
      </c>
      <c r="I230" s="54" t="s">
        <v>553</v>
      </c>
      <c r="J230" s="54" t="s">
        <v>553</v>
      </c>
    </row>
    <row r="231" spans="1:10" ht="13.5" customHeight="1">
      <c r="A231" s="55">
        <v>3</v>
      </c>
      <c r="B231" s="91">
        <v>6</v>
      </c>
      <c r="C231" s="55">
        <v>1</v>
      </c>
      <c r="D231" s="55">
        <v>1</v>
      </c>
      <c r="E231" s="56">
        <v>3611</v>
      </c>
      <c r="F231" s="95" t="s">
        <v>658</v>
      </c>
      <c r="G231" s="57" t="s">
        <v>553</v>
      </c>
      <c r="H231" s="58" t="s">
        <v>553</v>
      </c>
      <c r="I231" s="58" t="s">
        <v>553</v>
      </c>
      <c r="J231" s="58" t="s">
        <v>553</v>
      </c>
    </row>
    <row r="232" spans="1:10" ht="13.5" customHeight="1">
      <c r="A232" s="59">
        <v>3</v>
      </c>
      <c r="B232" s="92">
        <v>6</v>
      </c>
      <c r="C232" s="59">
        <v>1</v>
      </c>
      <c r="D232" s="59">
        <v>2</v>
      </c>
      <c r="E232" s="60">
        <v>3612</v>
      </c>
      <c r="F232" s="96" t="s">
        <v>659</v>
      </c>
      <c r="G232" s="61" t="s">
        <v>553</v>
      </c>
      <c r="H232" s="62" t="s">
        <v>553</v>
      </c>
      <c r="I232" s="62" t="s">
        <v>553</v>
      </c>
      <c r="J232" s="62" t="s">
        <v>553</v>
      </c>
    </row>
    <row r="233" spans="1:10" ht="13.5" customHeight="1">
      <c r="A233" s="63">
        <v>3</v>
      </c>
      <c r="B233" s="93">
        <v>6</v>
      </c>
      <c r="C233" s="63">
        <v>1</v>
      </c>
      <c r="D233" s="63">
        <v>3</v>
      </c>
      <c r="E233" s="64">
        <v>3613</v>
      </c>
      <c r="F233" s="98" t="s">
        <v>686</v>
      </c>
      <c r="G233" s="65" t="s">
        <v>553</v>
      </c>
      <c r="H233" s="66" t="s">
        <v>553</v>
      </c>
      <c r="I233" s="66" t="s">
        <v>553</v>
      </c>
      <c r="J233" s="66" t="s">
        <v>553</v>
      </c>
    </row>
    <row r="234" spans="1:10" ht="13.5" customHeight="1">
      <c r="A234" s="52">
        <v>3</v>
      </c>
      <c r="B234" s="89">
        <v>6</v>
      </c>
      <c r="C234" s="52">
        <v>2</v>
      </c>
      <c r="D234" s="52">
        <v>0</v>
      </c>
      <c r="E234" s="52">
        <v>3620</v>
      </c>
      <c r="F234" s="97" t="s">
        <v>692</v>
      </c>
      <c r="G234" s="53" t="s">
        <v>553</v>
      </c>
      <c r="H234" s="54" t="s">
        <v>553</v>
      </c>
      <c r="I234" s="54" t="s">
        <v>553</v>
      </c>
      <c r="J234" s="54" t="s">
        <v>553</v>
      </c>
    </row>
    <row r="235" spans="1:10" ht="13.5" customHeight="1">
      <c r="A235" s="55">
        <v>3</v>
      </c>
      <c r="B235" s="91">
        <v>6</v>
      </c>
      <c r="C235" s="55">
        <v>2</v>
      </c>
      <c r="D235" s="55">
        <v>1</v>
      </c>
      <c r="E235" s="56">
        <v>3621</v>
      </c>
      <c r="F235" s="95" t="s">
        <v>670</v>
      </c>
      <c r="G235" s="57" t="s">
        <v>553</v>
      </c>
      <c r="H235" s="58" t="s">
        <v>553</v>
      </c>
      <c r="I235" s="58" t="s">
        <v>553</v>
      </c>
      <c r="J235" s="58" t="s">
        <v>553</v>
      </c>
    </row>
    <row r="236" spans="1:10" ht="13.5" customHeight="1">
      <c r="A236" s="59">
        <v>3</v>
      </c>
      <c r="B236" s="92">
        <v>6</v>
      </c>
      <c r="C236" s="59">
        <v>2</v>
      </c>
      <c r="D236" s="59">
        <v>2</v>
      </c>
      <c r="E236" s="60">
        <v>3622</v>
      </c>
      <c r="F236" s="96" t="s">
        <v>671</v>
      </c>
      <c r="G236" s="61" t="s">
        <v>553</v>
      </c>
      <c r="H236" s="62" t="s">
        <v>553</v>
      </c>
      <c r="I236" s="62" t="s">
        <v>553</v>
      </c>
      <c r="J236" s="62" t="s">
        <v>553</v>
      </c>
    </row>
    <row r="237" spans="1:10" ht="13.5" customHeight="1">
      <c r="A237" s="59">
        <v>3</v>
      </c>
      <c r="B237" s="92">
        <v>6</v>
      </c>
      <c r="C237" s="59">
        <v>2</v>
      </c>
      <c r="D237" s="59">
        <v>3</v>
      </c>
      <c r="E237" s="60">
        <v>3623</v>
      </c>
      <c r="F237" s="96" t="s">
        <v>672</v>
      </c>
      <c r="G237" s="61" t="s">
        <v>553</v>
      </c>
      <c r="H237" s="62" t="s">
        <v>553</v>
      </c>
      <c r="I237" s="62" t="s">
        <v>553</v>
      </c>
      <c r="J237" s="62" t="s">
        <v>553</v>
      </c>
    </row>
    <row r="238" spans="1:10" ht="13.5" customHeight="1">
      <c r="A238" s="59">
        <v>3</v>
      </c>
      <c r="B238" s="92">
        <v>6</v>
      </c>
      <c r="C238" s="59">
        <v>2</v>
      </c>
      <c r="D238" s="59">
        <v>4</v>
      </c>
      <c r="E238" s="60">
        <v>3624</v>
      </c>
      <c r="F238" s="96" t="s">
        <v>673</v>
      </c>
      <c r="G238" s="61" t="s">
        <v>553</v>
      </c>
      <c r="H238" s="62" t="s">
        <v>553</v>
      </c>
      <c r="I238" s="62" t="s">
        <v>553</v>
      </c>
      <c r="J238" s="62" t="s">
        <v>553</v>
      </c>
    </row>
    <row r="239" spans="1:10" ht="13.5" customHeight="1">
      <c r="A239" s="59">
        <v>3</v>
      </c>
      <c r="B239" s="93">
        <v>6</v>
      </c>
      <c r="C239" s="59">
        <v>2</v>
      </c>
      <c r="D239" s="59">
        <v>5</v>
      </c>
      <c r="E239" s="60">
        <v>3625</v>
      </c>
      <c r="F239" s="96" t="s">
        <v>674</v>
      </c>
      <c r="G239" s="61" t="s">
        <v>553</v>
      </c>
      <c r="H239" s="62" t="s">
        <v>553</v>
      </c>
      <c r="I239" s="62" t="s">
        <v>553</v>
      </c>
      <c r="J239" s="62" t="s">
        <v>553</v>
      </c>
    </row>
    <row r="240" spans="1:10" ht="13.5" customHeight="1">
      <c r="A240" s="52">
        <v>3</v>
      </c>
      <c r="B240" s="89">
        <v>6</v>
      </c>
      <c r="C240" s="52">
        <v>9</v>
      </c>
      <c r="D240" s="52">
        <v>0</v>
      </c>
      <c r="E240" s="52">
        <v>3690</v>
      </c>
      <c r="F240" s="97" t="s">
        <v>541</v>
      </c>
      <c r="G240" s="53" t="s">
        <v>553</v>
      </c>
      <c r="H240" s="54" t="s">
        <v>553</v>
      </c>
      <c r="I240" s="54" t="s">
        <v>553</v>
      </c>
      <c r="J240" s="54" t="s">
        <v>553</v>
      </c>
    </row>
    <row r="241" spans="1:10" ht="13.5" customHeight="1">
      <c r="A241" s="59">
        <v>3</v>
      </c>
      <c r="B241" s="91">
        <v>6</v>
      </c>
      <c r="C241" s="59">
        <v>9</v>
      </c>
      <c r="D241" s="59">
        <v>7</v>
      </c>
      <c r="E241" s="60">
        <v>3697</v>
      </c>
      <c r="F241" s="96" t="s">
        <v>693</v>
      </c>
      <c r="G241" s="61" t="s">
        <v>553</v>
      </c>
      <c r="H241" s="62" t="s">
        <v>553</v>
      </c>
      <c r="I241" s="62" t="s">
        <v>553</v>
      </c>
      <c r="J241" s="62" t="s">
        <v>553</v>
      </c>
    </row>
    <row r="242" spans="1:10" ht="13.5" customHeight="1">
      <c r="A242" s="59">
        <v>3</v>
      </c>
      <c r="B242" s="92">
        <v>6</v>
      </c>
      <c r="C242" s="59">
        <v>9</v>
      </c>
      <c r="D242" s="59">
        <v>8</v>
      </c>
      <c r="E242" s="60">
        <v>3698</v>
      </c>
      <c r="F242" s="96" t="s">
        <v>666</v>
      </c>
      <c r="G242" s="61" t="s">
        <v>553</v>
      </c>
      <c r="H242" s="62" t="s">
        <v>553</v>
      </c>
      <c r="I242" s="62" t="s">
        <v>553</v>
      </c>
      <c r="J242" s="62" t="s">
        <v>553</v>
      </c>
    </row>
    <row r="243" spans="1:10" ht="13.5" customHeight="1">
      <c r="A243" s="63">
        <v>3</v>
      </c>
      <c r="B243" s="93">
        <v>6</v>
      </c>
      <c r="C243" s="63">
        <v>9</v>
      </c>
      <c r="D243" s="63">
        <v>9</v>
      </c>
      <c r="E243" s="64">
        <v>3699</v>
      </c>
      <c r="F243" s="98" t="s">
        <v>667</v>
      </c>
      <c r="G243" s="65" t="s">
        <v>553</v>
      </c>
      <c r="H243" s="66" t="s">
        <v>553</v>
      </c>
      <c r="I243" s="66" t="s">
        <v>553</v>
      </c>
      <c r="J243" s="66" t="s">
        <v>553</v>
      </c>
    </row>
    <row r="244" spans="1:10" ht="13.5" customHeight="1">
      <c r="A244" s="46">
        <v>3</v>
      </c>
      <c r="B244" s="90">
        <v>7</v>
      </c>
      <c r="C244" s="46">
        <v>0</v>
      </c>
      <c r="D244" s="46">
        <v>0</v>
      </c>
      <c r="E244" s="46">
        <v>3700</v>
      </c>
      <c r="F244" s="99" t="s">
        <v>694</v>
      </c>
      <c r="G244" s="48" t="s">
        <v>553</v>
      </c>
      <c r="H244" s="49" t="s">
        <v>553</v>
      </c>
      <c r="I244" s="49" t="s">
        <v>553</v>
      </c>
      <c r="J244" s="49" t="s">
        <v>553</v>
      </c>
    </row>
    <row r="245" spans="1:10" ht="13.5" customHeight="1">
      <c r="A245" s="52">
        <v>3</v>
      </c>
      <c r="B245" s="89">
        <v>7</v>
      </c>
      <c r="C245" s="52">
        <v>1</v>
      </c>
      <c r="D245" s="52">
        <v>0</v>
      </c>
      <c r="E245" s="52">
        <v>3710</v>
      </c>
      <c r="F245" s="97" t="s">
        <v>695</v>
      </c>
      <c r="G245" s="53" t="s">
        <v>553</v>
      </c>
      <c r="H245" s="54" t="s">
        <v>553</v>
      </c>
      <c r="I245" s="54" t="s">
        <v>553</v>
      </c>
      <c r="J245" s="54" t="s">
        <v>553</v>
      </c>
    </row>
    <row r="246" spans="1:10" ht="13.5" customHeight="1">
      <c r="A246" s="52">
        <v>3</v>
      </c>
      <c r="B246" s="89">
        <v>7</v>
      </c>
      <c r="C246" s="52">
        <v>2</v>
      </c>
      <c r="D246" s="52">
        <v>0</v>
      </c>
      <c r="E246" s="52">
        <v>3720</v>
      </c>
      <c r="F246" s="97" t="s">
        <v>696</v>
      </c>
      <c r="G246" s="53" t="s">
        <v>553</v>
      </c>
      <c r="H246" s="54" t="s">
        <v>553</v>
      </c>
      <c r="I246" s="54" t="s">
        <v>553</v>
      </c>
      <c r="J246" s="54" t="s">
        <v>553</v>
      </c>
    </row>
    <row r="247" spans="1:10" ht="13.5" customHeight="1">
      <c r="A247" s="55">
        <v>3</v>
      </c>
      <c r="B247" s="91">
        <v>7</v>
      </c>
      <c r="C247" s="55">
        <v>2</v>
      </c>
      <c r="D247" s="55">
        <v>1</v>
      </c>
      <c r="E247" s="56">
        <v>3721</v>
      </c>
      <c r="F247" s="95" t="s">
        <v>658</v>
      </c>
      <c r="G247" s="57" t="s">
        <v>553</v>
      </c>
      <c r="H247" s="58" t="s">
        <v>553</v>
      </c>
      <c r="I247" s="58" t="s">
        <v>553</v>
      </c>
      <c r="J247" s="58" t="s">
        <v>553</v>
      </c>
    </row>
    <row r="248" spans="1:10" ht="13.5" customHeight="1">
      <c r="A248" s="59">
        <v>3</v>
      </c>
      <c r="B248" s="92">
        <v>7</v>
      </c>
      <c r="C248" s="59">
        <v>2</v>
      </c>
      <c r="D248" s="59">
        <v>2</v>
      </c>
      <c r="E248" s="60">
        <v>3722</v>
      </c>
      <c r="F248" s="96" t="s">
        <v>659</v>
      </c>
      <c r="G248" s="61" t="s">
        <v>553</v>
      </c>
      <c r="H248" s="62" t="s">
        <v>553</v>
      </c>
      <c r="I248" s="62" t="s">
        <v>553</v>
      </c>
      <c r="J248" s="62" t="s">
        <v>553</v>
      </c>
    </row>
    <row r="249" spans="1:10" ht="13.5" customHeight="1">
      <c r="A249" s="59">
        <v>3</v>
      </c>
      <c r="B249" s="92">
        <v>7</v>
      </c>
      <c r="C249" s="59">
        <v>2</v>
      </c>
      <c r="D249" s="59">
        <v>3</v>
      </c>
      <c r="E249" s="60">
        <v>3723</v>
      </c>
      <c r="F249" s="96" t="s">
        <v>686</v>
      </c>
      <c r="G249" s="61" t="s">
        <v>553</v>
      </c>
      <c r="H249" s="62" t="s">
        <v>553</v>
      </c>
      <c r="I249" s="62" t="s">
        <v>553</v>
      </c>
      <c r="J249" s="62" t="s">
        <v>553</v>
      </c>
    </row>
    <row r="250" spans="1:10" ht="13.5" customHeight="1">
      <c r="A250" s="59">
        <v>3</v>
      </c>
      <c r="B250" s="92">
        <v>7</v>
      </c>
      <c r="C250" s="59">
        <v>2</v>
      </c>
      <c r="D250" s="59">
        <v>4</v>
      </c>
      <c r="E250" s="60">
        <v>3724</v>
      </c>
      <c r="F250" s="96" t="s">
        <v>687</v>
      </c>
      <c r="G250" s="61" t="s">
        <v>553</v>
      </c>
      <c r="H250" s="62" t="s">
        <v>553</v>
      </c>
      <c r="I250" s="62" t="s">
        <v>553</v>
      </c>
      <c r="J250" s="62" t="s">
        <v>553</v>
      </c>
    </row>
    <row r="251" spans="1:10" ht="13.5" customHeight="1">
      <c r="A251" s="59">
        <v>3</v>
      </c>
      <c r="B251" s="92">
        <v>7</v>
      </c>
      <c r="C251" s="59">
        <v>2</v>
      </c>
      <c r="D251" s="59">
        <v>5</v>
      </c>
      <c r="E251" s="60">
        <v>3725</v>
      </c>
      <c r="F251" s="96" t="s">
        <v>688</v>
      </c>
      <c r="G251" s="61" t="s">
        <v>553</v>
      </c>
      <c r="H251" s="62" t="s">
        <v>553</v>
      </c>
      <c r="I251" s="62" t="s">
        <v>553</v>
      </c>
      <c r="J251" s="62" t="s">
        <v>553</v>
      </c>
    </row>
    <row r="252" spans="1:10" ht="13.5" customHeight="1">
      <c r="A252" s="63">
        <v>3</v>
      </c>
      <c r="B252" s="93">
        <v>7</v>
      </c>
      <c r="C252" s="63">
        <v>2</v>
      </c>
      <c r="D252" s="63">
        <v>6</v>
      </c>
      <c r="E252" s="64">
        <v>3726</v>
      </c>
      <c r="F252" s="98" t="s">
        <v>697</v>
      </c>
      <c r="G252" s="65" t="s">
        <v>553</v>
      </c>
      <c r="H252" s="66" t="s">
        <v>553</v>
      </c>
      <c r="I252" s="66" t="s">
        <v>553</v>
      </c>
      <c r="J252" s="66" t="s">
        <v>553</v>
      </c>
    </row>
    <row r="253" spans="1:10" ht="13.5" customHeight="1">
      <c r="A253" s="52">
        <v>3</v>
      </c>
      <c r="B253" s="89">
        <v>7</v>
      </c>
      <c r="C253" s="52">
        <v>3</v>
      </c>
      <c r="D253" s="52">
        <v>0</v>
      </c>
      <c r="E253" s="52">
        <v>3730</v>
      </c>
      <c r="F253" s="97" t="s">
        <v>698</v>
      </c>
      <c r="G253" s="53" t="s">
        <v>553</v>
      </c>
      <c r="H253" s="54" t="s">
        <v>553</v>
      </c>
      <c r="I253" s="54" t="s">
        <v>553</v>
      </c>
      <c r="J253" s="54" t="s">
        <v>553</v>
      </c>
    </row>
    <row r="254" spans="1:10" ht="13.5" customHeight="1">
      <c r="A254" s="59">
        <v>3</v>
      </c>
      <c r="B254" s="91">
        <v>7</v>
      </c>
      <c r="C254" s="59">
        <v>3</v>
      </c>
      <c r="D254" s="59">
        <v>1</v>
      </c>
      <c r="E254" s="60">
        <v>3731</v>
      </c>
      <c r="F254" s="96" t="s">
        <v>658</v>
      </c>
      <c r="G254" s="61" t="s">
        <v>553</v>
      </c>
      <c r="H254" s="62" t="s">
        <v>553</v>
      </c>
      <c r="I254" s="62" t="s">
        <v>553</v>
      </c>
      <c r="J254" s="62" t="s">
        <v>553</v>
      </c>
    </row>
    <row r="255" spans="1:10" ht="13.5" customHeight="1">
      <c r="A255" s="59">
        <v>3</v>
      </c>
      <c r="B255" s="92">
        <v>7</v>
      </c>
      <c r="C255" s="59">
        <v>3</v>
      </c>
      <c r="D255" s="59">
        <v>2</v>
      </c>
      <c r="E255" s="60">
        <v>3732</v>
      </c>
      <c r="F255" s="96" t="s">
        <v>659</v>
      </c>
      <c r="G255" s="61" t="s">
        <v>553</v>
      </c>
      <c r="H255" s="62" t="s">
        <v>553</v>
      </c>
      <c r="I255" s="62" t="s">
        <v>553</v>
      </c>
      <c r="J255" s="62" t="s">
        <v>553</v>
      </c>
    </row>
    <row r="256" spans="1:10" ht="13.5" customHeight="1">
      <c r="A256" s="59">
        <v>3</v>
      </c>
      <c r="B256" s="92">
        <v>7</v>
      </c>
      <c r="C256" s="59">
        <v>3</v>
      </c>
      <c r="D256" s="59">
        <v>3</v>
      </c>
      <c r="E256" s="60">
        <v>3733</v>
      </c>
      <c r="F256" s="96" t="s">
        <v>686</v>
      </c>
      <c r="G256" s="61" t="s">
        <v>553</v>
      </c>
      <c r="H256" s="62" t="s">
        <v>553</v>
      </c>
      <c r="I256" s="62" t="s">
        <v>553</v>
      </c>
      <c r="J256" s="62" t="s">
        <v>553</v>
      </c>
    </row>
    <row r="257" spans="1:10" ht="13.5" customHeight="1">
      <c r="A257" s="59">
        <v>3</v>
      </c>
      <c r="B257" s="92">
        <v>7</v>
      </c>
      <c r="C257" s="59">
        <v>3</v>
      </c>
      <c r="D257" s="59">
        <v>4</v>
      </c>
      <c r="E257" s="60">
        <v>3734</v>
      </c>
      <c r="F257" s="96" t="s">
        <v>687</v>
      </c>
      <c r="G257" s="61" t="s">
        <v>553</v>
      </c>
      <c r="H257" s="62" t="s">
        <v>553</v>
      </c>
      <c r="I257" s="62" t="s">
        <v>553</v>
      </c>
      <c r="J257" s="62" t="s">
        <v>553</v>
      </c>
    </row>
    <row r="258" spans="1:10" ht="13.5" customHeight="1">
      <c r="A258" s="59">
        <v>3</v>
      </c>
      <c r="B258" s="92">
        <v>7</v>
      </c>
      <c r="C258" s="59">
        <v>3</v>
      </c>
      <c r="D258" s="59">
        <v>5</v>
      </c>
      <c r="E258" s="60">
        <v>3735</v>
      </c>
      <c r="F258" s="96" t="s">
        <v>688</v>
      </c>
      <c r="G258" s="61" t="s">
        <v>553</v>
      </c>
      <c r="H258" s="62" t="s">
        <v>553</v>
      </c>
      <c r="I258" s="62" t="s">
        <v>553</v>
      </c>
      <c r="J258" s="62" t="s">
        <v>553</v>
      </c>
    </row>
    <row r="259" spans="1:10" ht="13.5" customHeight="1">
      <c r="A259" s="63">
        <v>3</v>
      </c>
      <c r="B259" s="93">
        <v>7</v>
      </c>
      <c r="C259" s="63">
        <v>3</v>
      </c>
      <c r="D259" s="63">
        <v>6</v>
      </c>
      <c r="E259" s="64">
        <v>3736</v>
      </c>
      <c r="F259" s="98" t="s">
        <v>697</v>
      </c>
      <c r="G259" s="65" t="s">
        <v>553</v>
      </c>
      <c r="H259" s="66" t="s">
        <v>553</v>
      </c>
      <c r="I259" s="66" t="s">
        <v>553</v>
      </c>
      <c r="J259" s="66" t="s">
        <v>553</v>
      </c>
    </row>
    <row r="260" spans="1:10" ht="13.5" customHeight="1">
      <c r="A260" s="52">
        <v>3</v>
      </c>
      <c r="B260" s="89">
        <v>7</v>
      </c>
      <c r="C260" s="52">
        <v>4</v>
      </c>
      <c r="D260" s="52">
        <v>0</v>
      </c>
      <c r="E260" s="52">
        <v>3740</v>
      </c>
      <c r="F260" s="97" t="s">
        <v>699</v>
      </c>
      <c r="G260" s="53" t="s">
        <v>553</v>
      </c>
      <c r="H260" s="54" t="s">
        <v>553</v>
      </c>
      <c r="I260" s="54" t="s">
        <v>553</v>
      </c>
      <c r="J260" s="54" t="s">
        <v>553</v>
      </c>
    </row>
    <row r="261" spans="1:10" ht="13.5" customHeight="1">
      <c r="A261" s="55">
        <v>3</v>
      </c>
      <c r="B261" s="91">
        <v>7</v>
      </c>
      <c r="C261" s="55">
        <v>4</v>
      </c>
      <c r="D261" s="55">
        <v>1</v>
      </c>
      <c r="E261" s="56">
        <v>3741</v>
      </c>
      <c r="F261" s="95" t="s">
        <v>658</v>
      </c>
      <c r="G261" s="57" t="s">
        <v>553</v>
      </c>
      <c r="H261" s="58" t="s">
        <v>553</v>
      </c>
      <c r="I261" s="58" t="s">
        <v>553</v>
      </c>
      <c r="J261" s="58" t="s">
        <v>553</v>
      </c>
    </row>
    <row r="262" spans="1:10" ht="13.5" customHeight="1">
      <c r="A262" s="59">
        <v>3</v>
      </c>
      <c r="B262" s="92">
        <v>7</v>
      </c>
      <c r="C262" s="59">
        <v>4</v>
      </c>
      <c r="D262" s="59">
        <v>2</v>
      </c>
      <c r="E262" s="60">
        <v>3742</v>
      </c>
      <c r="F262" s="96" t="s">
        <v>659</v>
      </c>
      <c r="G262" s="61" t="s">
        <v>553</v>
      </c>
      <c r="H262" s="62" t="s">
        <v>553</v>
      </c>
      <c r="I262" s="62" t="s">
        <v>553</v>
      </c>
      <c r="J262" s="62" t="s">
        <v>553</v>
      </c>
    </row>
    <row r="263" spans="1:10" ht="13.5" customHeight="1">
      <c r="A263" s="59">
        <v>3</v>
      </c>
      <c r="B263" s="92">
        <v>7</v>
      </c>
      <c r="C263" s="59">
        <v>4</v>
      </c>
      <c r="D263" s="59">
        <v>3</v>
      </c>
      <c r="E263" s="60">
        <v>3743</v>
      </c>
      <c r="F263" s="96" t="s">
        <v>686</v>
      </c>
      <c r="G263" s="61" t="s">
        <v>553</v>
      </c>
      <c r="H263" s="62" t="s">
        <v>553</v>
      </c>
      <c r="I263" s="62" t="s">
        <v>553</v>
      </c>
      <c r="J263" s="62" t="s">
        <v>553</v>
      </c>
    </row>
    <row r="264" spans="1:10" ht="13.5" customHeight="1">
      <c r="A264" s="59">
        <v>3</v>
      </c>
      <c r="B264" s="92">
        <v>7</v>
      </c>
      <c r="C264" s="59">
        <v>4</v>
      </c>
      <c r="D264" s="59">
        <v>4</v>
      </c>
      <c r="E264" s="60">
        <v>3744</v>
      </c>
      <c r="F264" s="96" t="s">
        <v>687</v>
      </c>
      <c r="G264" s="61" t="s">
        <v>553</v>
      </c>
      <c r="H264" s="62" t="s">
        <v>553</v>
      </c>
      <c r="I264" s="62" t="s">
        <v>553</v>
      </c>
      <c r="J264" s="62" t="s">
        <v>553</v>
      </c>
    </row>
    <row r="265" spans="1:10" ht="13.5" customHeight="1">
      <c r="A265" s="59">
        <v>3</v>
      </c>
      <c r="B265" s="92">
        <v>7</v>
      </c>
      <c r="C265" s="59">
        <v>4</v>
      </c>
      <c r="D265" s="59">
        <v>5</v>
      </c>
      <c r="E265" s="60">
        <v>3745</v>
      </c>
      <c r="F265" s="96" t="s">
        <v>688</v>
      </c>
      <c r="G265" s="61" t="s">
        <v>553</v>
      </c>
      <c r="H265" s="62" t="s">
        <v>553</v>
      </c>
      <c r="I265" s="62" t="s">
        <v>553</v>
      </c>
      <c r="J265" s="62" t="s">
        <v>553</v>
      </c>
    </row>
    <row r="266" spans="1:10" ht="13.5" customHeight="1">
      <c r="A266" s="63">
        <v>3</v>
      </c>
      <c r="B266" s="93">
        <v>7</v>
      </c>
      <c r="C266" s="63">
        <v>4</v>
      </c>
      <c r="D266" s="63">
        <v>6</v>
      </c>
      <c r="E266" s="64">
        <v>3746</v>
      </c>
      <c r="F266" s="98" t="s">
        <v>697</v>
      </c>
      <c r="G266" s="65" t="s">
        <v>553</v>
      </c>
      <c r="H266" s="66" t="s">
        <v>553</v>
      </c>
      <c r="I266" s="66" t="s">
        <v>553</v>
      </c>
      <c r="J266" s="66" t="s">
        <v>553</v>
      </c>
    </row>
    <row r="267" spans="1:10" ht="13.5" customHeight="1">
      <c r="A267" s="52">
        <v>3</v>
      </c>
      <c r="B267" s="89">
        <v>7</v>
      </c>
      <c r="C267" s="52">
        <v>5</v>
      </c>
      <c r="D267" s="52">
        <v>0</v>
      </c>
      <c r="E267" s="52">
        <v>3750</v>
      </c>
      <c r="F267" s="97" t="s">
        <v>700</v>
      </c>
      <c r="G267" s="53" t="s">
        <v>553</v>
      </c>
      <c r="H267" s="54" t="s">
        <v>553</v>
      </c>
      <c r="I267" s="54" t="s">
        <v>553</v>
      </c>
      <c r="J267" s="54" t="s">
        <v>553</v>
      </c>
    </row>
    <row r="268" spans="1:10" ht="13.5" customHeight="1">
      <c r="A268" s="55">
        <v>3</v>
      </c>
      <c r="B268" s="91">
        <v>7</v>
      </c>
      <c r="C268" s="55">
        <v>5</v>
      </c>
      <c r="D268" s="55">
        <v>1</v>
      </c>
      <c r="E268" s="56">
        <v>3751</v>
      </c>
      <c r="F268" s="95" t="s">
        <v>670</v>
      </c>
      <c r="G268" s="57" t="s">
        <v>553</v>
      </c>
      <c r="H268" s="58" t="s">
        <v>553</v>
      </c>
      <c r="I268" s="58" t="s">
        <v>553</v>
      </c>
      <c r="J268" s="58" t="s">
        <v>553</v>
      </c>
    </row>
    <row r="269" spans="1:10" ht="13.5" customHeight="1">
      <c r="A269" s="59">
        <v>3</v>
      </c>
      <c r="B269" s="92">
        <v>7</v>
      </c>
      <c r="C269" s="59">
        <v>5</v>
      </c>
      <c r="D269" s="59">
        <v>2</v>
      </c>
      <c r="E269" s="60">
        <v>3752</v>
      </c>
      <c r="F269" s="96" t="s">
        <v>671</v>
      </c>
      <c r="G269" s="61" t="s">
        <v>553</v>
      </c>
      <c r="H269" s="62" t="s">
        <v>553</v>
      </c>
      <c r="I269" s="62" t="s">
        <v>553</v>
      </c>
      <c r="J269" s="62" t="s">
        <v>553</v>
      </c>
    </row>
    <row r="270" spans="1:10" ht="13.5" customHeight="1">
      <c r="A270" s="59">
        <v>3</v>
      </c>
      <c r="B270" s="92">
        <v>7</v>
      </c>
      <c r="C270" s="59">
        <v>5</v>
      </c>
      <c r="D270" s="59">
        <v>3</v>
      </c>
      <c r="E270" s="60">
        <v>3753</v>
      </c>
      <c r="F270" s="96" t="s">
        <v>672</v>
      </c>
      <c r="G270" s="61" t="s">
        <v>553</v>
      </c>
      <c r="H270" s="62" t="s">
        <v>553</v>
      </c>
      <c r="I270" s="62" t="s">
        <v>553</v>
      </c>
      <c r="J270" s="62" t="s">
        <v>553</v>
      </c>
    </row>
    <row r="271" spans="1:10" ht="13.5" customHeight="1">
      <c r="A271" s="59">
        <v>3</v>
      </c>
      <c r="B271" s="92">
        <v>7</v>
      </c>
      <c r="C271" s="59">
        <v>5</v>
      </c>
      <c r="D271" s="59">
        <v>4</v>
      </c>
      <c r="E271" s="60">
        <v>3754</v>
      </c>
      <c r="F271" s="96" t="s">
        <v>673</v>
      </c>
      <c r="G271" s="61" t="s">
        <v>553</v>
      </c>
      <c r="H271" s="62" t="s">
        <v>553</v>
      </c>
      <c r="I271" s="62" t="s">
        <v>553</v>
      </c>
      <c r="J271" s="62" t="s">
        <v>553</v>
      </c>
    </row>
    <row r="272" spans="1:10" ht="13.5" customHeight="1">
      <c r="A272" s="59">
        <v>3</v>
      </c>
      <c r="B272" s="93">
        <v>7</v>
      </c>
      <c r="C272" s="59">
        <v>5</v>
      </c>
      <c r="D272" s="59">
        <v>5</v>
      </c>
      <c r="E272" s="60">
        <v>3755</v>
      </c>
      <c r="F272" s="96" t="s">
        <v>674</v>
      </c>
      <c r="G272" s="61" t="s">
        <v>553</v>
      </c>
      <c r="H272" s="62" t="s">
        <v>553</v>
      </c>
      <c r="I272" s="62" t="s">
        <v>553</v>
      </c>
      <c r="J272" s="62" t="s">
        <v>553</v>
      </c>
    </row>
    <row r="273" spans="1:10" ht="13.5" customHeight="1">
      <c r="A273" s="52">
        <v>3</v>
      </c>
      <c r="B273" s="89">
        <v>7</v>
      </c>
      <c r="C273" s="52">
        <v>9</v>
      </c>
      <c r="D273" s="52">
        <v>0</v>
      </c>
      <c r="E273" s="52">
        <v>3790</v>
      </c>
      <c r="F273" s="97" t="s">
        <v>541</v>
      </c>
      <c r="G273" s="53" t="s">
        <v>553</v>
      </c>
      <c r="H273" s="54" t="s">
        <v>553</v>
      </c>
      <c r="I273" s="54" t="s">
        <v>553</v>
      </c>
      <c r="J273" s="54" t="s">
        <v>553</v>
      </c>
    </row>
    <row r="274" spans="1:10" ht="13.5" customHeight="1">
      <c r="A274" s="59">
        <v>3</v>
      </c>
      <c r="B274" s="91">
        <v>7</v>
      </c>
      <c r="C274" s="59">
        <v>9</v>
      </c>
      <c r="D274" s="59">
        <v>7</v>
      </c>
      <c r="E274" s="60">
        <v>3797</v>
      </c>
      <c r="F274" s="96" t="s">
        <v>693</v>
      </c>
      <c r="G274" s="61" t="s">
        <v>553</v>
      </c>
      <c r="H274" s="62" t="s">
        <v>553</v>
      </c>
      <c r="I274" s="62" t="s">
        <v>553</v>
      </c>
      <c r="J274" s="62" t="s">
        <v>553</v>
      </c>
    </row>
    <row r="275" spans="1:10" ht="13.5" customHeight="1">
      <c r="A275" s="59">
        <v>3</v>
      </c>
      <c r="B275" s="92">
        <v>7</v>
      </c>
      <c r="C275" s="59">
        <v>9</v>
      </c>
      <c r="D275" s="59">
        <v>8</v>
      </c>
      <c r="E275" s="60">
        <v>3798</v>
      </c>
      <c r="F275" s="96" t="s">
        <v>666</v>
      </c>
      <c r="G275" s="61" t="s">
        <v>553</v>
      </c>
      <c r="H275" s="62" t="s">
        <v>553</v>
      </c>
      <c r="I275" s="62" t="s">
        <v>553</v>
      </c>
      <c r="J275" s="62" t="s">
        <v>553</v>
      </c>
    </row>
    <row r="276" spans="1:10" ht="13.5" customHeight="1">
      <c r="A276" s="63">
        <v>3</v>
      </c>
      <c r="B276" s="93">
        <v>7</v>
      </c>
      <c r="C276" s="63">
        <v>9</v>
      </c>
      <c r="D276" s="63">
        <v>9</v>
      </c>
      <c r="E276" s="64">
        <v>3799</v>
      </c>
      <c r="F276" s="98" t="s">
        <v>667</v>
      </c>
      <c r="G276" s="65" t="s">
        <v>553</v>
      </c>
      <c r="H276" s="66" t="s">
        <v>553</v>
      </c>
      <c r="I276" s="66" t="s">
        <v>553</v>
      </c>
      <c r="J276" s="66" t="s">
        <v>553</v>
      </c>
    </row>
    <row r="277" spans="1:10" ht="13.5" customHeight="1">
      <c r="A277" s="46">
        <v>3</v>
      </c>
      <c r="B277" s="90">
        <v>8</v>
      </c>
      <c r="C277" s="46">
        <v>0</v>
      </c>
      <c r="D277" s="46">
        <v>0</v>
      </c>
      <c r="E277" s="46">
        <v>3800</v>
      </c>
      <c r="F277" s="99" t="s">
        <v>701</v>
      </c>
      <c r="G277" s="48" t="s">
        <v>553</v>
      </c>
      <c r="H277" s="49" t="s">
        <v>553</v>
      </c>
      <c r="I277" s="49" t="s">
        <v>553</v>
      </c>
      <c r="J277" s="49" t="s">
        <v>553</v>
      </c>
    </row>
    <row r="278" spans="1:10" ht="13.5" customHeight="1">
      <c r="A278" s="52">
        <v>3</v>
      </c>
      <c r="B278" s="89">
        <v>8</v>
      </c>
      <c r="C278" s="52">
        <v>1</v>
      </c>
      <c r="D278" s="52">
        <v>0</v>
      </c>
      <c r="E278" s="52">
        <v>3810</v>
      </c>
      <c r="F278" s="97" t="s">
        <v>702</v>
      </c>
      <c r="G278" s="53" t="s">
        <v>553</v>
      </c>
      <c r="H278" s="54" t="s">
        <v>553</v>
      </c>
      <c r="I278" s="54" t="s">
        <v>553</v>
      </c>
      <c r="J278" s="54" t="s">
        <v>553</v>
      </c>
    </row>
    <row r="279" spans="1:10" ht="13.5" customHeight="1">
      <c r="A279" s="52">
        <v>3</v>
      </c>
      <c r="B279" s="89">
        <v>8</v>
      </c>
      <c r="C279" s="52">
        <v>2</v>
      </c>
      <c r="D279" s="52">
        <v>0</v>
      </c>
      <c r="E279" s="52">
        <v>3820</v>
      </c>
      <c r="F279" s="97" t="s">
        <v>703</v>
      </c>
      <c r="G279" s="53" t="s">
        <v>553</v>
      </c>
      <c r="H279" s="54" t="s">
        <v>553</v>
      </c>
      <c r="I279" s="54" t="s">
        <v>553</v>
      </c>
      <c r="J279" s="54" t="s">
        <v>553</v>
      </c>
    </row>
    <row r="280" spans="1:10" ht="13.5" customHeight="1">
      <c r="A280" s="52">
        <v>3</v>
      </c>
      <c r="B280" s="89">
        <v>8</v>
      </c>
      <c r="C280" s="52">
        <v>3</v>
      </c>
      <c r="D280" s="52">
        <v>0</v>
      </c>
      <c r="E280" s="52">
        <v>3830</v>
      </c>
      <c r="F280" s="97" t="s">
        <v>704</v>
      </c>
      <c r="G280" s="53" t="s">
        <v>553</v>
      </c>
      <c r="H280" s="54" t="s">
        <v>553</v>
      </c>
      <c r="I280" s="54" t="s">
        <v>553</v>
      </c>
      <c r="J280" s="54" t="s">
        <v>553</v>
      </c>
    </row>
    <row r="281" spans="1:10" ht="13.5" customHeight="1">
      <c r="A281" s="52">
        <v>3</v>
      </c>
      <c r="B281" s="89">
        <v>8</v>
      </c>
      <c r="C281" s="52">
        <v>4</v>
      </c>
      <c r="D281" s="52">
        <v>0</v>
      </c>
      <c r="E281" s="52">
        <v>3840</v>
      </c>
      <c r="F281" s="97" t="s">
        <v>705</v>
      </c>
      <c r="G281" s="53" t="s">
        <v>553</v>
      </c>
      <c r="H281" s="54" t="s">
        <v>553</v>
      </c>
      <c r="I281" s="54" t="s">
        <v>553</v>
      </c>
      <c r="J281" s="54" t="s">
        <v>553</v>
      </c>
    </row>
    <row r="282" spans="1:10" ht="13.5" customHeight="1">
      <c r="A282" s="55">
        <v>3</v>
      </c>
      <c r="B282" s="91">
        <v>8</v>
      </c>
      <c r="C282" s="55">
        <v>4</v>
      </c>
      <c r="D282" s="55">
        <v>1</v>
      </c>
      <c r="E282" s="56">
        <v>3841</v>
      </c>
      <c r="F282" s="95" t="s">
        <v>670</v>
      </c>
      <c r="G282" s="57" t="s">
        <v>553</v>
      </c>
      <c r="H282" s="58" t="s">
        <v>553</v>
      </c>
      <c r="I282" s="58" t="s">
        <v>553</v>
      </c>
      <c r="J282" s="58" t="s">
        <v>553</v>
      </c>
    </row>
    <row r="283" spans="1:10" ht="13.5" customHeight="1">
      <c r="A283" s="59">
        <v>3</v>
      </c>
      <c r="B283" s="92">
        <v>8</v>
      </c>
      <c r="C283" s="59">
        <v>4</v>
      </c>
      <c r="D283" s="59">
        <v>2</v>
      </c>
      <c r="E283" s="60">
        <v>3842</v>
      </c>
      <c r="F283" s="96" t="s">
        <v>671</v>
      </c>
      <c r="G283" s="61" t="s">
        <v>553</v>
      </c>
      <c r="H283" s="62" t="s">
        <v>553</v>
      </c>
      <c r="I283" s="62" t="s">
        <v>553</v>
      </c>
      <c r="J283" s="62" t="s">
        <v>553</v>
      </c>
    </row>
    <row r="284" spans="1:10" ht="13.5" customHeight="1">
      <c r="A284" s="59">
        <v>3</v>
      </c>
      <c r="B284" s="92">
        <v>8</v>
      </c>
      <c r="C284" s="59">
        <v>4</v>
      </c>
      <c r="D284" s="59">
        <v>3</v>
      </c>
      <c r="E284" s="60">
        <v>3843</v>
      </c>
      <c r="F284" s="96" t="s">
        <v>672</v>
      </c>
      <c r="G284" s="61" t="s">
        <v>553</v>
      </c>
      <c r="H284" s="62" t="s">
        <v>553</v>
      </c>
      <c r="I284" s="62" t="s">
        <v>553</v>
      </c>
      <c r="J284" s="62" t="s">
        <v>553</v>
      </c>
    </row>
    <row r="285" spans="1:10" ht="13.5" customHeight="1">
      <c r="A285" s="59">
        <v>3</v>
      </c>
      <c r="B285" s="92">
        <v>8</v>
      </c>
      <c r="C285" s="59">
        <v>4</v>
      </c>
      <c r="D285" s="59">
        <v>4</v>
      </c>
      <c r="E285" s="60">
        <v>3844</v>
      </c>
      <c r="F285" s="96" t="s">
        <v>673</v>
      </c>
      <c r="G285" s="61" t="s">
        <v>553</v>
      </c>
      <c r="H285" s="62" t="s">
        <v>553</v>
      </c>
      <c r="I285" s="62" t="s">
        <v>553</v>
      </c>
      <c r="J285" s="62" t="s">
        <v>553</v>
      </c>
    </row>
    <row r="286" spans="1:10" ht="13.5" customHeight="1">
      <c r="A286" s="59">
        <v>3</v>
      </c>
      <c r="B286" s="93">
        <v>8</v>
      </c>
      <c r="C286" s="59">
        <v>4</v>
      </c>
      <c r="D286" s="59">
        <v>5</v>
      </c>
      <c r="E286" s="60">
        <v>3845</v>
      </c>
      <c r="F286" s="96" t="s">
        <v>674</v>
      </c>
      <c r="G286" s="61" t="s">
        <v>553</v>
      </c>
      <c r="H286" s="62" t="s">
        <v>553</v>
      </c>
      <c r="I286" s="62" t="s">
        <v>553</v>
      </c>
      <c r="J286" s="62" t="s">
        <v>553</v>
      </c>
    </row>
    <row r="287" spans="1:10" ht="13.5" customHeight="1">
      <c r="A287" s="52">
        <v>3</v>
      </c>
      <c r="B287" s="89">
        <v>8</v>
      </c>
      <c r="C287" s="52">
        <v>5</v>
      </c>
      <c r="D287" s="52">
        <v>0</v>
      </c>
      <c r="E287" s="52">
        <v>3850</v>
      </c>
      <c r="F287" s="97" t="s">
        <v>706</v>
      </c>
      <c r="G287" s="53" t="s">
        <v>553</v>
      </c>
      <c r="H287" s="54" t="s">
        <v>553</v>
      </c>
      <c r="I287" s="54" t="s">
        <v>553</v>
      </c>
      <c r="J287" s="54" t="s">
        <v>553</v>
      </c>
    </row>
    <row r="288" spans="1:10" ht="13.5" customHeight="1">
      <c r="A288" s="52">
        <v>3</v>
      </c>
      <c r="B288" s="89">
        <v>8</v>
      </c>
      <c r="C288" s="52">
        <v>9</v>
      </c>
      <c r="D288" s="52">
        <v>0</v>
      </c>
      <c r="E288" s="52">
        <v>3890</v>
      </c>
      <c r="F288" s="97" t="s">
        <v>541</v>
      </c>
      <c r="G288" s="53" t="s">
        <v>553</v>
      </c>
      <c r="H288" s="54" t="s">
        <v>553</v>
      </c>
      <c r="I288" s="54" t="s">
        <v>553</v>
      </c>
      <c r="J288" s="54" t="s">
        <v>553</v>
      </c>
    </row>
    <row r="289" spans="1:10" ht="13.5" customHeight="1">
      <c r="A289" s="59">
        <v>3</v>
      </c>
      <c r="B289" s="91">
        <v>8</v>
      </c>
      <c r="C289" s="59">
        <v>9</v>
      </c>
      <c r="D289" s="59">
        <v>8</v>
      </c>
      <c r="E289" s="60">
        <v>3898</v>
      </c>
      <c r="F289" s="96" t="s">
        <v>666</v>
      </c>
      <c r="G289" s="61" t="s">
        <v>553</v>
      </c>
      <c r="H289" s="62" t="s">
        <v>553</v>
      </c>
      <c r="I289" s="62" t="s">
        <v>553</v>
      </c>
      <c r="J289" s="62" t="s">
        <v>553</v>
      </c>
    </row>
    <row r="290" spans="1:10" ht="13.5" customHeight="1">
      <c r="A290" s="63">
        <v>3</v>
      </c>
      <c r="B290" s="93">
        <v>8</v>
      </c>
      <c r="C290" s="63">
        <v>9</v>
      </c>
      <c r="D290" s="63">
        <v>9</v>
      </c>
      <c r="E290" s="64">
        <v>3899</v>
      </c>
      <c r="F290" s="98" t="s">
        <v>667</v>
      </c>
      <c r="G290" s="65" t="s">
        <v>553</v>
      </c>
      <c r="H290" s="66" t="s">
        <v>553</v>
      </c>
      <c r="I290" s="66" t="s">
        <v>553</v>
      </c>
      <c r="J290" s="66" t="s">
        <v>553</v>
      </c>
    </row>
    <row r="291" spans="1:10" ht="13.5" customHeight="1">
      <c r="A291" s="42">
        <v>4</v>
      </c>
      <c r="B291" s="88">
        <v>0</v>
      </c>
      <c r="C291" s="42">
        <v>0</v>
      </c>
      <c r="D291" s="42">
        <v>0</v>
      </c>
      <c r="E291" s="42">
        <v>4000</v>
      </c>
      <c r="F291" s="100" t="s">
        <v>707</v>
      </c>
      <c r="G291" s="44" t="s">
        <v>553</v>
      </c>
      <c r="H291" s="45" t="s">
        <v>553</v>
      </c>
      <c r="I291" s="45" t="s">
        <v>553</v>
      </c>
      <c r="J291" s="45" t="s">
        <v>553</v>
      </c>
    </row>
    <row r="292" spans="1:10" ht="13.5" customHeight="1">
      <c r="A292" s="46">
        <v>4</v>
      </c>
      <c r="B292" s="90">
        <v>1</v>
      </c>
      <c r="C292" s="46">
        <v>0</v>
      </c>
      <c r="D292" s="46">
        <v>0</v>
      </c>
      <c r="E292" s="46">
        <v>4100</v>
      </c>
      <c r="F292" s="99" t="s">
        <v>708</v>
      </c>
      <c r="G292" s="48" t="s">
        <v>553</v>
      </c>
      <c r="H292" s="49" t="s">
        <v>553</v>
      </c>
      <c r="I292" s="49" t="s">
        <v>553</v>
      </c>
      <c r="J292" s="49" t="s">
        <v>553</v>
      </c>
    </row>
    <row r="293" spans="1:10" ht="13.5" customHeight="1">
      <c r="A293" s="52">
        <v>4</v>
      </c>
      <c r="B293" s="89">
        <v>1</v>
      </c>
      <c r="C293" s="52">
        <v>1</v>
      </c>
      <c r="D293" s="52">
        <v>0</v>
      </c>
      <c r="E293" s="52">
        <v>4110</v>
      </c>
      <c r="F293" s="97" t="s">
        <v>709</v>
      </c>
      <c r="G293" s="53" t="s">
        <v>553</v>
      </c>
      <c r="H293" s="54" t="s">
        <v>553</v>
      </c>
      <c r="I293" s="54" t="s">
        <v>553</v>
      </c>
      <c r="J293" s="54" t="s">
        <v>553</v>
      </c>
    </row>
    <row r="294" spans="1:10" ht="13.5" customHeight="1">
      <c r="A294" s="55">
        <v>4</v>
      </c>
      <c r="B294" s="91">
        <v>1</v>
      </c>
      <c r="C294" s="55">
        <v>1</v>
      </c>
      <c r="D294" s="55">
        <v>1</v>
      </c>
      <c r="E294" s="56">
        <v>4111</v>
      </c>
      <c r="F294" s="95" t="s">
        <v>658</v>
      </c>
      <c r="G294" s="57" t="s">
        <v>553</v>
      </c>
      <c r="H294" s="58" t="s">
        <v>553</v>
      </c>
      <c r="I294" s="58" t="s">
        <v>553</v>
      </c>
      <c r="J294" s="58" t="s">
        <v>553</v>
      </c>
    </row>
    <row r="295" spans="1:10" ht="13.5" customHeight="1">
      <c r="A295" s="59">
        <v>4</v>
      </c>
      <c r="B295" s="92">
        <v>1</v>
      </c>
      <c r="C295" s="59">
        <v>1</v>
      </c>
      <c r="D295" s="59">
        <v>2</v>
      </c>
      <c r="E295" s="60">
        <v>4112</v>
      </c>
      <c r="F295" s="96" t="s">
        <v>659</v>
      </c>
      <c r="G295" s="61" t="s">
        <v>553</v>
      </c>
      <c r="H295" s="62" t="s">
        <v>553</v>
      </c>
      <c r="I295" s="62" t="s">
        <v>553</v>
      </c>
      <c r="J295" s="62" t="s">
        <v>553</v>
      </c>
    </row>
    <row r="296" spans="1:10" ht="13.5" customHeight="1">
      <c r="A296" s="59">
        <v>4</v>
      </c>
      <c r="B296" s="93">
        <v>1</v>
      </c>
      <c r="C296" s="59">
        <v>1</v>
      </c>
      <c r="D296" s="59">
        <v>3</v>
      </c>
      <c r="E296" s="60">
        <v>4113</v>
      </c>
      <c r="F296" s="96" t="s">
        <v>686</v>
      </c>
      <c r="G296" s="61" t="s">
        <v>553</v>
      </c>
      <c r="H296" s="62" t="s">
        <v>553</v>
      </c>
      <c r="I296" s="62" t="s">
        <v>553</v>
      </c>
      <c r="J296" s="62" t="s">
        <v>553</v>
      </c>
    </row>
    <row r="297" spans="1:10" ht="13.5" customHeight="1">
      <c r="A297" s="52">
        <v>4</v>
      </c>
      <c r="B297" s="89">
        <v>1</v>
      </c>
      <c r="C297" s="52">
        <v>3</v>
      </c>
      <c r="D297" s="52">
        <v>0</v>
      </c>
      <c r="E297" s="52">
        <v>4130</v>
      </c>
      <c r="F297" s="97" t="s">
        <v>710</v>
      </c>
      <c r="G297" s="53" t="s">
        <v>553</v>
      </c>
      <c r="H297" s="54" t="s">
        <v>553</v>
      </c>
      <c r="I297" s="54" t="s">
        <v>553</v>
      </c>
      <c r="J297" s="54" t="s">
        <v>553</v>
      </c>
    </row>
    <row r="298" spans="1:10" ht="13.5" customHeight="1">
      <c r="A298" s="55">
        <v>4</v>
      </c>
      <c r="B298" s="91">
        <v>1</v>
      </c>
      <c r="C298" s="55">
        <v>3</v>
      </c>
      <c r="D298" s="55">
        <v>1</v>
      </c>
      <c r="E298" s="56">
        <v>4131</v>
      </c>
      <c r="F298" s="95" t="s">
        <v>658</v>
      </c>
      <c r="G298" s="57" t="s">
        <v>553</v>
      </c>
      <c r="H298" s="58" t="s">
        <v>553</v>
      </c>
      <c r="I298" s="58" t="s">
        <v>553</v>
      </c>
      <c r="J298" s="58" t="s">
        <v>553</v>
      </c>
    </row>
    <row r="299" spans="1:10" ht="13.5" customHeight="1">
      <c r="A299" s="59">
        <v>4</v>
      </c>
      <c r="B299" s="92">
        <v>1</v>
      </c>
      <c r="C299" s="59">
        <v>3</v>
      </c>
      <c r="D299" s="59">
        <v>2</v>
      </c>
      <c r="E299" s="60">
        <v>4132</v>
      </c>
      <c r="F299" s="96" t="s">
        <v>659</v>
      </c>
      <c r="G299" s="61" t="s">
        <v>553</v>
      </c>
      <c r="H299" s="62" t="s">
        <v>553</v>
      </c>
      <c r="I299" s="62" t="s">
        <v>553</v>
      </c>
      <c r="J299" s="62" t="s">
        <v>553</v>
      </c>
    </row>
    <row r="300" spans="1:10" ht="13.5" customHeight="1">
      <c r="A300" s="59">
        <v>4</v>
      </c>
      <c r="B300" s="93">
        <v>1</v>
      </c>
      <c r="C300" s="59">
        <v>3</v>
      </c>
      <c r="D300" s="59">
        <v>3</v>
      </c>
      <c r="E300" s="60">
        <v>4133</v>
      </c>
      <c r="F300" s="96" t="s">
        <v>686</v>
      </c>
      <c r="G300" s="61" t="s">
        <v>553</v>
      </c>
      <c r="H300" s="62" t="s">
        <v>553</v>
      </c>
      <c r="I300" s="62" t="s">
        <v>553</v>
      </c>
      <c r="J300" s="62" t="s">
        <v>553</v>
      </c>
    </row>
    <row r="301" spans="1:10" ht="13.5" customHeight="1">
      <c r="A301" s="52">
        <v>4</v>
      </c>
      <c r="B301" s="89">
        <v>1</v>
      </c>
      <c r="C301" s="52">
        <v>4</v>
      </c>
      <c r="D301" s="52">
        <v>0</v>
      </c>
      <c r="E301" s="52">
        <v>4140</v>
      </c>
      <c r="F301" s="97" t="s">
        <v>711</v>
      </c>
      <c r="G301" s="75" t="s">
        <v>712</v>
      </c>
      <c r="H301" s="76" t="s">
        <v>712</v>
      </c>
      <c r="I301" s="76" t="s">
        <v>712</v>
      </c>
      <c r="J301" s="76" t="s">
        <v>712</v>
      </c>
    </row>
    <row r="302" spans="1:10" ht="13.5" customHeight="1">
      <c r="A302" s="52">
        <v>4</v>
      </c>
      <c r="B302" s="89">
        <v>1</v>
      </c>
      <c r="C302" s="52">
        <v>5</v>
      </c>
      <c r="D302" s="52">
        <v>0</v>
      </c>
      <c r="E302" s="52">
        <v>4150</v>
      </c>
      <c r="F302" s="97" t="s">
        <v>713</v>
      </c>
      <c r="G302" s="75" t="s">
        <v>712</v>
      </c>
      <c r="H302" s="76" t="s">
        <v>712</v>
      </c>
      <c r="I302" s="76" t="s">
        <v>712</v>
      </c>
      <c r="J302" s="76" t="s">
        <v>712</v>
      </c>
    </row>
    <row r="303" spans="1:10" ht="13.5" customHeight="1">
      <c r="A303" s="52">
        <v>4</v>
      </c>
      <c r="B303" s="89">
        <v>1</v>
      </c>
      <c r="C303" s="52">
        <v>6</v>
      </c>
      <c r="D303" s="52">
        <v>0</v>
      </c>
      <c r="E303" s="52">
        <v>4160</v>
      </c>
      <c r="F303" s="97" t="s">
        <v>714</v>
      </c>
      <c r="G303" s="75" t="s">
        <v>712</v>
      </c>
      <c r="H303" s="76" t="s">
        <v>712</v>
      </c>
      <c r="I303" s="76" t="s">
        <v>712</v>
      </c>
      <c r="J303" s="76" t="s">
        <v>712</v>
      </c>
    </row>
    <row r="304" spans="1:10" ht="13.5" customHeight="1">
      <c r="A304" s="52">
        <v>4</v>
      </c>
      <c r="B304" s="89">
        <v>1</v>
      </c>
      <c r="C304" s="52">
        <v>7</v>
      </c>
      <c r="D304" s="52">
        <v>0</v>
      </c>
      <c r="E304" s="52">
        <v>4170</v>
      </c>
      <c r="F304" s="97" t="s">
        <v>715</v>
      </c>
      <c r="G304" s="53" t="s">
        <v>553</v>
      </c>
      <c r="H304" s="54" t="s">
        <v>553</v>
      </c>
      <c r="I304" s="54" t="s">
        <v>553</v>
      </c>
      <c r="J304" s="54" t="s">
        <v>553</v>
      </c>
    </row>
    <row r="305" spans="1:10" ht="13.5" customHeight="1">
      <c r="A305" s="52">
        <v>4</v>
      </c>
      <c r="B305" s="89">
        <v>1</v>
      </c>
      <c r="C305" s="52">
        <v>8</v>
      </c>
      <c r="D305" s="52">
        <v>0</v>
      </c>
      <c r="E305" s="52">
        <v>4180</v>
      </c>
      <c r="F305" s="97" t="s">
        <v>716</v>
      </c>
      <c r="G305" s="53" t="s">
        <v>553</v>
      </c>
      <c r="H305" s="54" t="s">
        <v>553</v>
      </c>
      <c r="I305" s="54" t="s">
        <v>553</v>
      </c>
      <c r="J305" s="54" t="s">
        <v>553</v>
      </c>
    </row>
    <row r="306" spans="1:10" ht="13.5" customHeight="1">
      <c r="A306" s="55">
        <v>4</v>
      </c>
      <c r="B306" s="91">
        <v>1</v>
      </c>
      <c r="C306" s="55">
        <v>8</v>
      </c>
      <c r="D306" s="55">
        <v>1</v>
      </c>
      <c r="E306" s="56">
        <v>4181</v>
      </c>
      <c r="F306" s="95" t="s">
        <v>717</v>
      </c>
      <c r="G306" s="57" t="s">
        <v>553</v>
      </c>
      <c r="H306" s="58" t="s">
        <v>553</v>
      </c>
      <c r="I306" s="58" t="s">
        <v>553</v>
      </c>
      <c r="J306" s="58" t="s">
        <v>553</v>
      </c>
    </row>
    <row r="307" spans="1:10" ht="13.5" customHeight="1">
      <c r="A307" s="59">
        <v>4</v>
      </c>
      <c r="B307" s="92">
        <v>1</v>
      </c>
      <c r="C307" s="59">
        <v>8</v>
      </c>
      <c r="D307" s="59">
        <v>2</v>
      </c>
      <c r="E307" s="60">
        <v>4182</v>
      </c>
      <c r="F307" s="96" t="s">
        <v>718</v>
      </c>
      <c r="G307" s="61" t="s">
        <v>553</v>
      </c>
      <c r="H307" s="62" t="s">
        <v>553</v>
      </c>
      <c r="I307" s="62" t="s">
        <v>553</v>
      </c>
      <c r="J307" s="62" t="s">
        <v>553</v>
      </c>
    </row>
    <row r="308" spans="1:10" ht="13.5" customHeight="1">
      <c r="A308" s="59">
        <v>4</v>
      </c>
      <c r="B308" s="93">
        <v>1</v>
      </c>
      <c r="C308" s="59">
        <v>8</v>
      </c>
      <c r="D308" s="59">
        <v>3</v>
      </c>
      <c r="E308" s="60">
        <v>4183</v>
      </c>
      <c r="F308" s="96" t="s">
        <v>719</v>
      </c>
      <c r="G308" s="61" t="s">
        <v>553</v>
      </c>
      <c r="H308" s="62" t="s">
        <v>553</v>
      </c>
      <c r="I308" s="62" t="s">
        <v>553</v>
      </c>
      <c r="J308" s="62" t="s">
        <v>553</v>
      </c>
    </row>
    <row r="309" spans="1:10" ht="13.5" customHeight="1">
      <c r="A309" s="52">
        <v>4</v>
      </c>
      <c r="B309" s="89">
        <v>1</v>
      </c>
      <c r="C309" s="52">
        <v>9</v>
      </c>
      <c r="D309" s="52">
        <v>0</v>
      </c>
      <c r="E309" s="52">
        <v>4190</v>
      </c>
      <c r="F309" s="97" t="s">
        <v>541</v>
      </c>
      <c r="G309" s="53" t="s">
        <v>553</v>
      </c>
      <c r="H309" s="54" t="s">
        <v>553</v>
      </c>
      <c r="I309" s="54" t="s">
        <v>553</v>
      </c>
      <c r="J309" s="54" t="s">
        <v>553</v>
      </c>
    </row>
    <row r="310" spans="1:10" ht="13.5" customHeight="1">
      <c r="A310" s="55">
        <v>4</v>
      </c>
      <c r="B310" s="91">
        <v>1</v>
      </c>
      <c r="C310" s="55">
        <v>9</v>
      </c>
      <c r="D310" s="55">
        <v>1</v>
      </c>
      <c r="E310" s="56">
        <v>4191</v>
      </c>
      <c r="F310" s="95" t="s">
        <v>720</v>
      </c>
      <c r="G310" s="57" t="s">
        <v>721</v>
      </c>
      <c r="H310" s="58" t="s">
        <v>721</v>
      </c>
      <c r="I310" s="58" t="s">
        <v>721</v>
      </c>
      <c r="J310" s="58" t="s">
        <v>721</v>
      </c>
    </row>
    <row r="311" spans="1:10" ht="13.5" customHeight="1">
      <c r="A311" s="59">
        <v>4</v>
      </c>
      <c r="B311" s="92">
        <v>1</v>
      </c>
      <c r="C311" s="59">
        <v>9</v>
      </c>
      <c r="D311" s="59">
        <v>2</v>
      </c>
      <c r="E311" s="60">
        <v>4192</v>
      </c>
      <c r="F311" s="96" t="s">
        <v>722</v>
      </c>
      <c r="G311" s="61" t="s">
        <v>721</v>
      </c>
      <c r="H311" s="62" t="s">
        <v>721</v>
      </c>
      <c r="I311" s="62" t="s">
        <v>721</v>
      </c>
      <c r="J311" s="62" t="s">
        <v>721</v>
      </c>
    </row>
    <row r="312" spans="1:10" ht="13.5" customHeight="1">
      <c r="A312" s="59">
        <v>4</v>
      </c>
      <c r="B312" s="92">
        <v>1</v>
      </c>
      <c r="C312" s="59">
        <v>9</v>
      </c>
      <c r="D312" s="59">
        <v>3</v>
      </c>
      <c r="E312" s="60">
        <v>4193</v>
      </c>
      <c r="F312" s="96" t="s">
        <v>723</v>
      </c>
      <c r="G312" s="61" t="s">
        <v>721</v>
      </c>
      <c r="H312" s="62" t="s">
        <v>721</v>
      </c>
      <c r="I312" s="62" t="s">
        <v>721</v>
      </c>
      <c r="J312" s="62" t="s">
        <v>721</v>
      </c>
    </row>
    <row r="313" spans="1:10" ht="13.5" customHeight="1">
      <c r="A313" s="59">
        <v>4</v>
      </c>
      <c r="B313" s="92">
        <v>1</v>
      </c>
      <c r="C313" s="59">
        <v>9</v>
      </c>
      <c r="D313" s="59">
        <v>8</v>
      </c>
      <c r="E313" s="60">
        <v>4198</v>
      </c>
      <c r="F313" s="96" t="s">
        <v>666</v>
      </c>
      <c r="G313" s="65" t="s">
        <v>553</v>
      </c>
      <c r="H313" s="62" t="s">
        <v>553</v>
      </c>
      <c r="I313" s="62" t="s">
        <v>553</v>
      </c>
      <c r="J313" s="62" t="s">
        <v>553</v>
      </c>
    </row>
    <row r="314" spans="1:10" ht="13.5" customHeight="1">
      <c r="A314" s="63">
        <v>4</v>
      </c>
      <c r="B314" s="93">
        <v>1</v>
      </c>
      <c r="C314" s="63">
        <v>9</v>
      </c>
      <c r="D314" s="63">
        <v>9</v>
      </c>
      <c r="E314" s="64">
        <v>4199</v>
      </c>
      <c r="F314" s="98" t="s">
        <v>667</v>
      </c>
      <c r="G314" s="65" t="s">
        <v>553</v>
      </c>
      <c r="H314" s="66" t="s">
        <v>553</v>
      </c>
      <c r="I314" s="66" t="s">
        <v>553</v>
      </c>
      <c r="J314" s="66" t="s">
        <v>553</v>
      </c>
    </row>
    <row r="315" spans="1:10" ht="13.5" customHeight="1">
      <c r="A315" s="46">
        <v>4</v>
      </c>
      <c r="B315" s="90">
        <v>2</v>
      </c>
      <c r="C315" s="46">
        <v>0</v>
      </c>
      <c r="D315" s="46">
        <v>0</v>
      </c>
      <c r="E315" s="46">
        <v>4200</v>
      </c>
      <c r="F315" s="99" t="s">
        <v>724</v>
      </c>
      <c r="G315" s="48" t="s">
        <v>553</v>
      </c>
      <c r="H315" s="49" t="s">
        <v>553</v>
      </c>
      <c r="I315" s="49" t="s">
        <v>553</v>
      </c>
      <c r="J315" s="49" t="s">
        <v>553</v>
      </c>
    </row>
    <row r="316" spans="1:10" ht="13.5" customHeight="1">
      <c r="A316" s="52">
        <v>4</v>
      </c>
      <c r="B316" s="89">
        <v>2</v>
      </c>
      <c r="C316" s="52">
        <v>1</v>
      </c>
      <c r="D316" s="52">
        <v>0</v>
      </c>
      <c r="E316" s="52">
        <v>4210</v>
      </c>
      <c r="F316" s="97" t="s">
        <v>725</v>
      </c>
      <c r="G316" s="53" t="s">
        <v>553</v>
      </c>
      <c r="H316" s="54" t="s">
        <v>553</v>
      </c>
      <c r="I316" s="54" t="s">
        <v>553</v>
      </c>
      <c r="J316" s="54" t="s">
        <v>553</v>
      </c>
    </row>
    <row r="317" spans="1:10" ht="13.5" customHeight="1">
      <c r="A317" s="55">
        <v>4</v>
      </c>
      <c r="B317" s="91">
        <v>2</v>
      </c>
      <c r="C317" s="55">
        <v>1</v>
      </c>
      <c r="D317" s="55">
        <v>1</v>
      </c>
      <c r="E317" s="56">
        <v>4211</v>
      </c>
      <c r="F317" s="95" t="s">
        <v>658</v>
      </c>
      <c r="G317" s="57" t="s">
        <v>553</v>
      </c>
      <c r="H317" s="58" t="s">
        <v>553</v>
      </c>
      <c r="I317" s="58" t="s">
        <v>553</v>
      </c>
      <c r="J317" s="58" t="s">
        <v>553</v>
      </c>
    </row>
    <row r="318" spans="1:10" ht="13.5" customHeight="1">
      <c r="A318" s="59">
        <v>4</v>
      </c>
      <c r="B318" s="92">
        <v>2</v>
      </c>
      <c r="C318" s="59">
        <v>1</v>
      </c>
      <c r="D318" s="59">
        <v>2</v>
      </c>
      <c r="E318" s="60">
        <v>4212</v>
      </c>
      <c r="F318" s="96" t="s">
        <v>659</v>
      </c>
      <c r="G318" s="61" t="s">
        <v>553</v>
      </c>
      <c r="H318" s="62" t="s">
        <v>553</v>
      </c>
      <c r="I318" s="62" t="s">
        <v>553</v>
      </c>
      <c r="J318" s="62" t="s">
        <v>553</v>
      </c>
    </row>
    <row r="319" spans="1:10" ht="13.5" customHeight="1">
      <c r="A319" s="59">
        <v>4</v>
      </c>
      <c r="B319" s="93">
        <v>2</v>
      </c>
      <c r="C319" s="59">
        <v>1</v>
      </c>
      <c r="D319" s="59">
        <v>3</v>
      </c>
      <c r="E319" s="60">
        <v>4213</v>
      </c>
      <c r="F319" s="96" t="s">
        <v>686</v>
      </c>
      <c r="G319" s="61" t="s">
        <v>553</v>
      </c>
      <c r="H319" s="62" t="s">
        <v>553</v>
      </c>
      <c r="I319" s="62" t="s">
        <v>553</v>
      </c>
      <c r="J319" s="62" t="s">
        <v>553</v>
      </c>
    </row>
    <row r="320" spans="1:10" ht="13.5" customHeight="1">
      <c r="A320" s="52">
        <v>4</v>
      </c>
      <c r="B320" s="89">
        <v>2</v>
      </c>
      <c r="C320" s="52">
        <v>3</v>
      </c>
      <c r="D320" s="52">
        <v>0</v>
      </c>
      <c r="E320" s="52">
        <v>4230</v>
      </c>
      <c r="F320" s="97" t="s">
        <v>726</v>
      </c>
      <c r="G320" s="53" t="s">
        <v>553</v>
      </c>
      <c r="H320" s="54" t="s">
        <v>553</v>
      </c>
      <c r="I320" s="54" t="s">
        <v>553</v>
      </c>
      <c r="J320" s="54" t="s">
        <v>553</v>
      </c>
    </row>
    <row r="321" spans="1:10" ht="13.5" customHeight="1">
      <c r="A321" s="55">
        <v>4</v>
      </c>
      <c r="B321" s="91">
        <v>2</v>
      </c>
      <c r="C321" s="55">
        <v>3</v>
      </c>
      <c r="D321" s="55">
        <v>1</v>
      </c>
      <c r="E321" s="56">
        <v>4231</v>
      </c>
      <c r="F321" s="95" t="s">
        <v>658</v>
      </c>
      <c r="G321" s="57" t="s">
        <v>553</v>
      </c>
      <c r="H321" s="58" t="s">
        <v>553</v>
      </c>
      <c r="I321" s="58" t="s">
        <v>553</v>
      </c>
      <c r="J321" s="58" t="s">
        <v>553</v>
      </c>
    </row>
    <row r="322" spans="1:10" ht="13.5" customHeight="1">
      <c r="A322" s="59">
        <v>4</v>
      </c>
      <c r="B322" s="92">
        <v>2</v>
      </c>
      <c r="C322" s="59">
        <v>3</v>
      </c>
      <c r="D322" s="59">
        <v>2</v>
      </c>
      <c r="E322" s="60">
        <v>4232</v>
      </c>
      <c r="F322" s="96" t="s">
        <v>659</v>
      </c>
      <c r="G322" s="61" t="s">
        <v>553</v>
      </c>
      <c r="H322" s="62" t="s">
        <v>553</v>
      </c>
      <c r="I322" s="62" t="s">
        <v>553</v>
      </c>
      <c r="J322" s="62" t="s">
        <v>553</v>
      </c>
    </row>
    <row r="323" spans="1:10" ht="13.5" customHeight="1">
      <c r="A323" s="59">
        <v>4</v>
      </c>
      <c r="B323" s="93">
        <v>2</v>
      </c>
      <c r="C323" s="59">
        <v>3</v>
      </c>
      <c r="D323" s="59">
        <v>3</v>
      </c>
      <c r="E323" s="60">
        <v>4233</v>
      </c>
      <c r="F323" s="96" t="s">
        <v>686</v>
      </c>
      <c r="G323" s="61" t="s">
        <v>553</v>
      </c>
      <c r="H323" s="62" t="s">
        <v>553</v>
      </c>
      <c r="I323" s="62" t="s">
        <v>553</v>
      </c>
      <c r="J323" s="62" t="s">
        <v>553</v>
      </c>
    </row>
    <row r="324" spans="1:10" ht="13.5" customHeight="1">
      <c r="A324" s="52">
        <v>4</v>
      </c>
      <c r="B324" s="89">
        <v>2</v>
      </c>
      <c r="C324" s="52">
        <v>4</v>
      </c>
      <c r="D324" s="52">
        <v>0</v>
      </c>
      <c r="E324" s="52">
        <v>4240</v>
      </c>
      <c r="F324" s="97" t="s">
        <v>727</v>
      </c>
      <c r="G324" s="53" t="s">
        <v>553</v>
      </c>
      <c r="H324" s="54" t="s">
        <v>553</v>
      </c>
      <c r="I324" s="54" t="s">
        <v>553</v>
      </c>
      <c r="J324" s="54" t="s">
        <v>553</v>
      </c>
    </row>
    <row r="325" spans="1:10" ht="13.5" customHeight="1">
      <c r="A325" s="55">
        <v>4</v>
      </c>
      <c r="B325" s="91">
        <v>2</v>
      </c>
      <c r="C325" s="55">
        <v>4</v>
      </c>
      <c r="D325" s="55">
        <v>1</v>
      </c>
      <c r="E325" s="56">
        <v>4241</v>
      </c>
      <c r="F325" s="95" t="s">
        <v>728</v>
      </c>
      <c r="G325" s="57" t="s">
        <v>553</v>
      </c>
      <c r="H325" s="58" t="s">
        <v>553</v>
      </c>
      <c r="I325" s="58" t="s">
        <v>553</v>
      </c>
      <c r="J325" s="58" t="s">
        <v>553</v>
      </c>
    </row>
    <row r="326" spans="1:10" ht="13.5" customHeight="1">
      <c r="A326" s="59">
        <v>4</v>
      </c>
      <c r="B326" s="92">
        <v>2</v>
      </c>
      <c r="C326" s="59">
        <v>4</v>
      </c>
      <c r="D326" s="59">
        <v>2</v>
      </c>
      <c r="E326" s="60">
        <v>4242</v>
      </c>
      <c r="F326" s="96" t="s">
        <v>729</v>
      </c>
      <c r="G326" s="61" t="s">
        <v>553</v>
      </c>
      <c r="H326" s="62" t="s">
        <v>553</v>
      </c>
      <c r="I326" s="62" t="s">
        <v>553</v>
      </c>
      <c r="J326" s="62" t="s">
        <v>553</v>
      </c>
    </row>
    <row r="327" spans="1:10" ht="13.5" customHeight="1">
      <c r="A327" s="59">
        <v>4</v>
      </c>
      <c r="B327" s="92">
        <v>2</v>
      </c>
      <c r="C327" s="59">
        <v>4</v>
      </c>
      <c r="D327" s="59">
        <v>3</v>
      </c>
      <c r="E327" s="60">
        <v>4243</v>
      </c>
      <c r="F327" s="96" t="s">
        <v>730</v>
      </c>
      <c r="G327" s="61" t="s">
        <v>553</v>
      </c>
      <c r="H327" s="62" t="s">
        <v>553</v>
      </c>
      <c r="I327" s="62" t="s">
        <v>553</v>
      </c>
      <c r="J327" s="62" t="s">
        <v>553</v>
      </c>
    </row>
    <row r="328" spans="1:10" ht="13.5" customHeight="1">
      <c r="A328" s="59">
        <v>4</v>
      </c>
      <c r="B328" s="92">
        <v>2</v>
      </c>
      <c r="C328" s="59">
        <v>4</v>
      </c>
      <c r="D328" s="59">
        <v>4</v>
      </c>
      <c r="E328" s="60">
        <v>4244</v>
      </c>
      <c r="F328" s="96" t="s">
        <v>731</v>
      </c>
      <c r="G328" s="61" t="s">
        <v>553</v>
      </c>
      <c r="H328" s="62" t="s">
        <v>553</v>
      </c>
      <c r="I328" s="62" t="s">
        <v>553</v>
      </c>
      <c r="J328" s="62" t="s">
        <v>553</v>
      </c>
    </row>
    <row r="329" spans="1:10" ht="13.5" customHeight="1">
      <c r="A329" s="59">
        <v>4</v>
      </c>
      <c r="B329" s="92">
        <v>2</v>
      </c>
      <c r="C329" s="59">
        <v>4</v>
      </c>
      <c r="D329" s="59">
        <v>5</v>
      </c>
      <c r="E329" s="60">
        <v>4245</v>
      </c>
      <c r="F329" s="96" t="s">
        <v>732</v>
      </c>
      <c r="G329" s="61" t="s">
        <v>553</v>
      </c>
      <c r="H329" s="62" t="s">
        <v>553</v>
      </c>
      <c r="I329" s="62" t="s">
        <v>553</v>
      </c>
      <c r="J329" s="62" t="s">
        <v>553</v>
      </c>
    </row>
    <row r="330" spans="1:10" ht="13.5" customHeight="1">
      <c r="A330" s="59">
        <v>4</v>
      </c>
      <c r="B330" s="92">
        <v>2</v>
      </c>
      <c r="C330" s="59">
        <v>4</v>
      </c>
      <c r="D330" s="59">
        <v>6</v>
      </c>
      <c r="E330" s="60">
        <v>4246</v>
      </c>
      <c r="F330" s="96" t="s">
        <v>733</v>
      </c>
      <c r="G330" s="61" t="s">
        <v>553</v>
      </c>
      <c r="H330" s="62" t="s">
        <v>553</v>
      </c>
      <c r="I330" s="62" t="s">
        <v>553</v>
      </c>
      <c r="J330" s="62" t="s">
        <v>553</v>
      </c>
    </row>
    <row r="331" spans="1:10" ht="13.5" customHeight="1">
      <c r="A331" s="59">
        <v>4</v>
      </c>
      <c r="B331" s="92">
        <v>2</v>
      </c>
      <c r="C331" s="59">
        <v>4</v>
      </c>
      <c r="D331" s="59">
        <v>7</v>
      </c>
      <c r="E331" s="60">
        <v>4247</v>
      </c>
      <c r="F331" s="96" t="s">
        <v>734</v>
      </c>
      <c r="G331" s="61" t="s">
        <v>553</v>
      </c>
      <c r="H331" s="62" t="s">
        <v>553</v>
      </c>
      <c r="I331" s="62" t="s">
        <v>553</v>
      </c>
      <c r="J331" s="62" t="s">
        <v>553</v>
      </c>
    </row>
    <row r="332" spans="1:10" ht="13.5" customHeight="1">
      <c r="A332" s="59">
        <v>4</v>
      </c>
      <c r="B332" s="93">
        <v>2</v>
      </c>
      <c r="C332" s="59">
        <v>4</v>
      </c>
      <c r="D332" s="59">
        <v>8</v>
      </c>
      <c r="E332" s="60">
        <v>4248</v>
      </c>
      <c r="F332" s="96" t="s">
        <v>735</v>
      </c>
      <c r="G332" s="61" t="s">
        <v>553</v>
      </c>
      <c r="H332" s="62" t="s">
        <v>553</v>
      </c>
      <c r="I332" s="62" t="s">
        <v>553</v>
      </c>
      <c r="J332" s="62" t="s">
        <v>553</v>
      </c>
    </row>
    <row r="333" spans="1:10" ht="13.5" customHeight="1">
      <c r="A333" s="52">
        <v>4</v>
      </c>
      <c r="B333" s="89">
        <v>2</v>
      </c>
      <c r="C333" s="52">
        <v>5</v>
      </c>
      <c r="D333" s="52">
        <v>0</v>
      </c>
      <c r="E333" s="52">
        <v>4250</v>
      </c>
      <c r="F333" s="97" t="s">
        <v>736</v>
      </c>
      <c r="G333" s="53" t="s">
        <v>553</v>
      </c>
      <c r="H333" s="54" t="s">
        <v>553</v>
      </c>
      <c r="I333" s="54" t="s">
        <v>553</v>
      </c>
      <c r="J333" s="54" t="s">
        <v>553</v>
      </c>
    </row>
    <row r="334" spans="1:10" ht="13.5" customHeight="1">
      <c r="A334" s="59">
        <v>4</v>
      </c>
      <c r="B334" s="91">
        <v>2</v>
      </c>
      <c r="C334" s="59">
        <v>5</v>
      </c>
      <c r="D334" s="59">
        <v>5</v>
      </c>
      <c r="E334" s="60">
        <v>4255</v>
      </c>
      <c r="F334" s="96" t="s">
        <v>737</v>
      </c>
      <c r="G334" s="61" t="s">
        <v>553</v>
      </c>
      <c r="H334" s="62" t="s">
        <v>553</v>
      </c>
      <c r="I334" s="62" t="s">
        <v>553</v>
      </c>
      <c r="J334" s="62" t="s">
        <v>553</v>
      </c>
    </row>
    <row r="335" spans="1:10" ht="13.5" customHeight="1">
      <c r="A335" s="59">
        <v>4</v>
      </c>
      <c r="B335" s="92">
        <v>2</v>
      </c>
      <c r="C335" s="59">
        <v>5</v>
      </c>
      <c r="D335" s="59">
        <v>6</v>
      </c>
      <c r="E335" s="60">
        <v>4256</v>
      </c>
      <c r="F335" s="96" t="s">
        <v>738</v>
      </c>
      <c r="G335" s="61" t="s">
        <v>553</v>
      </c>
      <c r="H335" s="62" t="s">
        <v>553</v>
      </c>
      <c r="I335" s="62" t="s">
        <v>553</v>
      </c>
      <c r="J335" s="62" t="s">
        <v>553</v>
      </c>
    </row>
    <row r="336" spans="1:10" ht="13.5" customHeight="1">
      <c r="A336" s="59">
        <v>4</v>
      </c>
      <c r="B336" s="93">
        <v>2</v>
      </c>
      <c r="C336" s="59">
        <v>5</v>
      </c>
      <c r="D336" s="59">
        <v>7</v>
      </c>
      <c r="E336" s="60">
        <v>4257</v>
      </c>
      <c r="F336" s="96" t="s">
        <v>739</v>
      </c>
      <c r="G336" s="61" t="s">
        <v>553</v>
      </c>
      <c r="H336" s="62" t="s">
        <v>553</v>
      </c>
      <c r="I336" s="62" t="s">
        <v>553</v>
      </c>
      <c r="J336" s="62" t="s">
        <v>553</v>
      </c>
    </row>
    <row r="337" spans="1:10" ht="13.5" customHeight="1">
      <c r="A337" s="52">
        <v>4</v>
      </c>
      <c r="B337" s="89">
        <v>2</v>
      </c>
      <c r="C337" s="52">
        <v>6</v>
      </c>
      <c r="D337" s="52">
        <v>0</v>
      </c>
      <c r="E337" s="52">
        <v>4260</v>
      </c>
      <c r="F337" s="97" t="s">
        <v>740</v>
      </c>
      <c r="G337" s="53" t="s">
        <v>553</v>
      </c>
      <c r="H337" s="54" t="s">
        <v>553</v>
      </c>
      <c r="I337" s="54" t="s">
        <v>553</v>
      </c>
      <c r="J337" s="54" t="s">
        <v>553</v>
      </c>
    </row>
    <row r="338" spans="1:10" ht="13.5" customHeight="1">
      <c r="A338" s="55">
        <v>4</v>
      </c>
      <c r="B338" s="91">
        <v>2</v>
      </c>
      <c r="C338" s="55">
        <v>6</v>
      </c>
      <c r="D338" s="55">
        <v>1</v>
      </c>
      <c r="E338" s="56">
        <v>4261</v>
      </c>
      <c r="F338" s="95" t="s">
        <v>741</v>
      </c>
      <c r="G338" s="57" t="s">
        <v>553</v>
      </c>
      <c r="H338" s="58" t="s">
        <v>553</v>
      </c>
      <c r="I338" s="58" t="s">
        <v>553</v>
      </c>
      <c r="J338" s="58" t="s">
        <v>553</v>
      </c>
    </row>
    <row r="339" spans="1:10" ht="13.5" customHeight="1">
      <c r="A339" s="59">
        <v>4</v>
      </c>
      <c r="B339" s="93">
        <v>2</v>
      </c>
      <c r="C339" s="59">
        <v>6</v>
      </c>
      <c r="D339" s="59">
        <v>2</v>
      </c>
      <c r="E339" s="60">
        <v>4262</v>
      </c>
      <c r="F339" s="96" t="s">
        <v>742</v>
      </c>
      <c r="G339" s="61" t="s">
        <v>553</v>
      </c>
      <c r="H339" s="62" t="s">
        <v>553</v>
      </c>
      <c r="I339" s="62" t="s">
        <v>553</v>
      </c>
      <c r="J339" s="62" t="s">
        <v>553</v>
      </c>
    </row>
    <row r="340" spans="1:10" ht="13.5" customHeight="1">
      <c r="A340" s="52">
        <v>4</v>
      </c>
      <c r="B340" s="89">
        <v>2</v>
      </c>
      <c r="C340" s="52">
        <v>7</v>
      </c>
      <c r="D340" s="52">
        <v>0</v>
      </c>
      <c r="E340" s="52">
        <v>4270</v>
      </c>
      <c r="F340" s="97" t="s">
        <v>743</v>
      </c>
      <c r="G340" s="53" t="s">
        <v>553</v>
      </c>
      <c r="H340" s="54" t="s">
        <v>553</v>
      </c>
      <c r="I340" s="54" t="s">
        <v>553</v>
      </c>
      <c r="J340" s="54" t="s">
        <v>553</v>
      </c>
    </row>
    <row r="341" spans="1:10" ht="13.5" customHeight="1">
      <c r="A341" s="52">
        <v>4</v>
      </c>
      <c r="B341" s="89">
        <v>2</v>
      </c>
      <c r="C341" s="52">
        <v>8</v>
      </c>
      <c r="D341" s="52">
        <v>0</v>
      </c>
      <c r="E341" s="52">
        <v>4280</v>
      </c>
      <c r="F341" s="97" t="s">
        <v>744</v>
      </c>
      <c r="G341" s="53" t="s">
        <v>553</v>
      </c>
      <c r="H341" s="54" t="s">
        <v>553</v>
      </c>
      <c r="I341" s="54" t="s">
        <v>553</v>
      </c>
      <c r="J341" s="54" t="s">
        <v>553</v>
      </c>
    </row>
    <row r="342" spans="1:10" ht="13.5" customHeight="1">
      <c r="A342" s="55">
        <v>4</v>
      </c>
      <c r="B342" s="91">
        <v>2</v>
      </c>
      <c r="C342" s="55">
        <v>8</v>
      </c>
      <c r="D342" s="55">
        <v>1</v>
      </c>
      <c r="E342" s="56">
        <v>4281</v>
      </c>
      <c r="F342" s="95" t="s">
        <v>745</v>
      </c>
      <c r="G342" s="57" t="s">
        <v>529</v>
      </c>
      <c r="H342" s="58" t="s">
        <v>529</v>
      </c>
      <c r="I342" s="58" t="s">
        <v>529</v>
      </c>
      <c r="J342" s="58" t="s">
        <v>529</v>
      </c>
    </row>
    <row r="343" spans="1:10" ht="13.5" customHeight="1">
      <c r="A343" s="59">
        <v>4</v>
      </c>
      <c r="B343" s="92">
        <v>2</v>
      </c>
      <c r="C343" s="59">
        <v>8</v>
      </c>
      <c r="D343" s="59">
        <v>2</v>
      </c>
      <c r="E343" s="60">
        <v>4282</v>
      </c>
      <c r="F343" s="96" t="s">
        <v>746</v>
      </c>
      <c r="G343" s="61" t="s">
        <v>529</v>
      </c>
      <c r="H343" s="62" t="s">
        <v>529</v>
      </c>
      <c r="I343" s="62" t="s">
        <v>529</v>
      </c>
      <c r="J343" s="62" t="s">
        <v>529</v>
      </c>
    </row>
    <row r="344" spans="1:10" ht="13.5" customHeight="1">
      <c r="A344" s="59">
        <v>4</v>
      </c>
      <c r="B344" s="92">
        <v>2</v>
      </c>
      <c r="C344" s="59">
        <v>8</v>
      </c>
      <c r="D344" s="59">
        <v>3</v>
      </c>
      <c r="E344" s="60">
        <v>4283</v>
      </c>
      <c r="F344" s="96" t="s">
        <v>747</v>
      </c>
      <c r="G344" s="61" t="s">
        <v>529</v>
      </c>
      <c r="H344" s="62" t="s">
        <v>529</v>
      </c>
      <c r="I344" s="62" t="s">
        <v>529</v>
      </c>
      <c r="J344" s="62" t="s">
        <v>529</v>
      </c>
    </row>
    <row r="345" spans="1:10" ht="13.5" customHeight="1">
      <c r="A345" s="59">
        <v>4</v>
      </c>
      <c r="B345" s="92">
        <v>2</v>
      </c>
      <c r="C345" s="59">
        <v>8</v>
      </c>
      <c r="D345" s="59">
        <v>4</v>
      </c>
      <c r="E345" s="60">
        <v>4284</v>
      </c>
      <c r="F345" s="96" t="s">
        <v>748</v>
      </c>
      <c r="G345" s="61" t="s">
        <v>529</v>
      </c>
      <c r="H345" s="62" t="s">
        <v>529</v>
      </c>
      <c r="I345" s="62" t="s">
        <v>529</v>
      </c>
      <c r="J345" s="62" t="s">
        <v>529</v>
      </c>
    </row>
    <row r="346" spans="1:10" ht="13.5" customHeight="1">
      <c r="A346" s="59">
        <v>4</v>
      </c>
      <c r="B346" s="92">
        <v>2</v>
      </c>
      <c r="C346" s="59">
        <v>8</v>
      </c>
      <c r="D346" s="59">
        <v>5</v>
      </c>
      <c r="E346" s="60">
        <v>4285</v>
      </c>
      <c r="F346" s="96" t="s">
        <v>749</v>
      </c>
      <c r="G346" s="61" t="s">
        <v>529</v>
      </c>
      <c r="H346" s="62" t="s">
        <v>529</v>
      </c>
      <c r="I346" s="62" t="s">
        <v>529</v>
      </c>
      <c r="J346" s="62" t="s">
        <v>529</v>
      </c>
    </row>
    <row r="347" spans="1:10" ht="13.5" customHeight="1">
      <c r="A347" s="59">
        <v>4</v>
      </c>
      <c r="B347" s="92">
        <v>2</v>
      </c>
      <c r="C347" s="59">
        <v>8</v>
      </c>
      <c r="D347" s="59">
        <v>6</v>
      </c>
      <c r="E347" s="60">
        <v>4286</v>
      </c>
      <c r="F347" s="96" t="s">
        <v>750</v>
      </c>
      <c r="G347" s="61" t="s">
        <v>529</v>
      </c>
      <c r="H347" s="62" t="s">
        <v>529</v>
      </c>
      <c r="I347" s="62" t="s">
        <v>529</v>
      </c>
      <c r="J347" s="62" t="s">
        <v>529</v>
      </c>
    </row>
    <row r="348" spans="1:10" ht="13.5" customHeight="1">
      <c r="A348" s="59">
        <v>4</v>
      </c>
      <c r="B348" s="92">
        <v>2</v>
      </c>
      <c r="C348" s="59">
        <v>8</v>
      </c>
      <c r="D348" s="59">
        <v>7</v>
      </c>
      <c r="E348" s="60">
        <v>4287</v>
      </c>
      <c r="F348" s="96" t="s">
        <v>751</v>
      </c>
      <c r="G348" s="61" t="s">
        <v>529</v>
      </c>
      <c r="H348" s="62" t="s">
        <v>529</v>
      </c>
      <c r="I348" s="62" t="s">
        <v>529</v>
      </c>
      <c r="J348" s="62" t="s">
        <v>529</v>
      </c>
    </row>
    <row r="349" spans="1:10" ht="13.5" customHeight="1">
      <c r="A349" s="59">
        <v>4</v>
      </c>
      <c r="B349" s="93">
        <v>2</v>
      </c>
      <c r="C349" s="59">
        <v>8</v>
      </c>
      <c r="D349" s="59">
        <v>8</v>
      </c>
      <c r="E349" s="60">
        <v>4288</v>
      </c>
      <c r="F349" s="96" t="s">
        <v>752</v>
      </c>
      <c r="G349" s="61" t="s">
        <v>529</v>
      </c>
      <c r="H349" s="62" t="s">
        <v>529</v>
      </c>
      <c r="I349" s="62" t="s">
        <v>529</v>
      </c>
      <c r="J349" s="62" t="s">
        <v>529</v>
      </c>
    </row>
    <row r="350" spans="1:10" ht="13.5" customHeight="1">
      <c r="A350" s="52">
        <v>4</v>
      </c>
      <c r="B350" s="89">
        <v>2</v>
      </c>
      <c r="C350" s="52">
        <v>9</v>
      </c>
      <c r="D350" s="52">
        <v>0</v>
      </c>
      <c r="E350" s="52">
        <v>4290</v>
      </c>
      <c r="F350" s="97" t="s">
        <v>541</v>
      </c>
      <c r="G350" s="53" t="s">
        <v>553</v>
      </c>
      <c r="H350" s="54" t="s">
        <v>553</v>
      </c>
      <c r="I350" s="54" t="s">
        <v>553</v>
      </c>
      <c r="J350" s="54" t="s">
        <v>553</v>
      </c>
    </row>
    <row r="351" spans="1:10" ht="13.5" customHeight="1">
      <c r="A351" s="59">
        <v>4</v>
      </c>
      <c r="B351" s="91">
        <v>2</v>
      </c>
      <c r="C351" s="59">
        <v>9</v>
      </c>
      <c r="D351" s="59">
        <v>8</v>
      </c>
      <c r="E351" s="60">
        <v>4298</v>
      </c>
      <c r="F351" s="96" t="s">
        <v>666</v>
      </c>
      <c r="G351" s="61" t="s">
        <v>553</v>
      </c>
      <c r="H351" s="62" t="s">
        <v>553</v>
      </c>
      <c r="I351" s="62" t="s">
        <v>553</v>
      </c>
      <c r="J351" s="62" t="s">
        <v>553</v>
      </c>
    </row>
    <row r="352" spans="1:10" ht="13.5" customHeight="1">
      <c r="A352" s="63">
        <v>4</v>
      </c>
      <c r="B352" s="93">
        <v>2</v>
      </c>
      <c r="C352" s="63">
        <v>9</v>
      </c>
      <c r="D352" s="63">
        <v>9</v>
      </c>
      <c r="E352" s="64">
        <v>4299</v>
      </c>
      <c r="F352" s="98" t="s">
        <v>667</v>
      </c>
      <c r="G352" s="65" t="s">
        <v>553</v>
      </c>
      <c r="H352" s="66" t="s">
        <v>553</v>
      </c>
      <c r="I352" s="66" t="s">
        <v>553</v>
      </c>
      <c r="J352" s="66" t="s">
        <v>553</v>
      </c>
    </row>
    <row r="353" spans="1:10" ht="13.5" customHeight="1">
      <c r="A353" s="46">
        <v>4</v>
      </c>
      <c r="B353" s="90">
        <v>3</v>
      </c>
      <c r="C353" s="46">
        <v>0</v>
      </c>
      <c r="D353" s="46">
        <v>0</v>
      </c>
      <c r="E353" s="46">
        <v>4300</v>
      </c>
      <c r="F353" s="99" t="s">
        <v>753</v>
      </c>
      <c r="G353" s="48" t="s">
        <v>553</v>
      </c>
      <c r="H353" s="49" t="s">
        <v>553</v>
      </c>
      <c r="I353" s="49" t="s">
        <v>553</v>
      </c>
      <c r="J353" s="49" t="s">
        <v>553</v>
      </c>
    </row>
    <row r="354" spans="1:10" ht="13.5" customHeight="1">
      <c r="A354" s="52">
        <v>4</v>
      </c>
      <c r="B354" s="89">
        <v>3</v>
      </c>
      <c r="C354" s="52">
        <v>2</v>
      </c>
      <c r="D354" s="52">
        <v>0</v>
      </c>
      <c r="E354" s="52">
        <v>4320</v>
      </c>
      <c r="F354" s="97" t="s">
        <v>754</v>
      </c>
      <c r="G354" s="53" t="s">
        <v>553</v>
      </c>
      <c r="H354" s="54" t="s">
        <v>553</v>
      </c>
      <c r="I354" s="54" t="s">
        <v>553</v>
      </c>
      <c r="J354" s="54" t="s">
        <v>553</v>
      </c>
    </row>
    <row r="355" spans="1:10" ht="13.5" customHeight="1">
      <c r="A355" s="55">
        <v>4</v>
      </c>
      <c r="B355" s="91">
        <v>3</v>
      </c>
      <c r="C355" s="55">
        <v>2</v>
      </c>
      <c r="D355" s="55">
        <v>1</v>
      </c>
      <c r="E355" s="56">
        <v>4321</v>
      </c>
      <c r="F355" s="95" t="s">
        <v>658</v>
      </c>
      <c r="G355" s="57" t="s">
        <v>553</v>
      </c>
      <c r="H355" s="58" t="s">
        <v>553</v>
      </c>
      <c r="I355" s="58" t="s">
        <v>553</v>
      </c>
      <c r="J355" s="58" t="s">
        <v>553</v>
      </c>
    </row>
    <row r="356" spans="1:10" ht="13.5" customHeight="1">
      <c r="A356" s="59">
        <v>4</v>
      </c>
      <c r="B356" s="92">
        <v>3</v>
      </c>
      <c r="C356" s="59">
        <v>2</v>
      </c>
      <c r="D356" s="59">
        <v>2</v>
      </c>
      <c r="E356" s="60">
        <v>4322</v>
      </c>
      <c r="F356" s="96" t="s">
        <v>659</v>
      </c>
      <c r="G356" s="61" t="s">
        <v>553</v>
      </c>
      <c r="H356" s="62" t="s">
        <v>553</v>
      </c>
      <c r="I356" s="62" t="s">
        <v>553</v>
      </c>
      <c r="J356" s="62" t="s">
        <v>553</v>
      </c>
    </row>
    <row r="357" spans="1:10" ht="13.5" customHeight="1">
      <c r="A357" s="59">
        <v>4</v>
      </c>
      <c r="B357" s="93">
        <v>3</v>
      </c>
      <c r="C357" s="59">
        <v>2</v>
      </c>
      <c r="D357" s="59">
        <v>3</v>
      </c>
      <c r="E357" s="60">
        <v>4323</v>
      </c>
      <c r="F357" s="96" t="s">
        <v>686</v>
      </c>
      <c r="G357" s="61" t="s">
        <v>553</v>
      </c>
      <c r="H357" s="62" t="s">
        <v>553</v>
      </c>
      <c r="I357" s="62" t="s">
        <v>553</v>
      </c>
      <c r="J357" s="62" t="s">
        <v>553</v>
      </c>
    </row>
    <row r="358" spans="1:10" ht="13.5" customHeight="1">
      <c r="A358" s="52">
        <v>4</v>
      </c>
      <c r="B358" s="89">
        <v>3</v>
      </c>
      <c r="C358" s="52">
        <v>3</v>
      </c>
      <c r="D358" s="52">
        <v>0</v>
      </c>
      <c r="E358" s="52">
        <v>4330</v>
      </c>
      <c r="F358" s="97" t="s">
        <v>755</v>
      </c>
      <c r="G358" s="53" t="s">
        <v>553</v>
      </c>
      <c r="H358" s="54" t="s">
        <v>553</v>
      </c>
      <c r="I358" s="54" t="s">
        <v>553</v>
      </c>
      <c r="J358" s="54" t="s">
        <v>553</v>
      </c>
    </row>
    <row r="359" spans="1:10" ht="13.5" customHeight="1">
      <c r="A359" s="55">
        <v>4</v>
      </c>
      <c r="B359" s="91">
        <v>3</v>
      </c>
      <c r="C359" s="55">
        <v>3</v>
      </c>
      <c r="D359" s="55">
        <v>1</v>
      </c>
      <c r="E359" s="56">
        <v>4331</v>
      </c>
      <c r="F359" s="95" t="s">
        <v>658</v>
      </c>
      <c r="G359" s="57" t="s">
        <v>553</v>
      </c>
      <c r="H359" s="58" t="s">
        <v>553</v>
      </c>
      <c r="I359" s="58" t="s">
        <v>553</v>
      </c>
      <c r="J359" s="58" t="s">
        <v>553</v>
      </c>
    </row>
    <row r="360" spans="1:10" ht="13.5" customHeight="1">
      <c r="A360" s="59">
        <v>4</v>
      </c>
      <c r="B360" s="92">
        <v>3</v>
      </c>
      <c r="C360" s="59">
        <v>3</v>
      </c>
      <c r="D360" s="59">
        <v>2</v>
      </c>
      <c r="E360" s="60">
        <v>4332</v>
      </c>
      <c r="F360" s="96" t="s">
        <v>659</v>
      </c>
      <c r="G360" s="61" t="s">
        <v>553</v>
      </c>
      <c r="H360" s="62" t="s">
        <v>553</v>
      </c>
      <c r="I360" s="62" t="s">
        <v>553</v>
      </c>
      <c r="J360" s="62" t="s">
        <v>553</v>
      </c>
    </row>
    <row r="361" spans="1:10" ht="13.5" customHeight="1">
      <c r="A361" s="59">
        <v>4</v>
      </c>
      <c r="B361" s="93">
        <v>3</v>
      </c>
      <c r="C361" s="59">
        <v>3</v>
      </c>
      <c r="D361" s="59">
        <v>3</v>
      </c>
      <c r="E361" s="60">
        <v>4333</v>
      </c>
      <c r="F361" s="96" t="s">
        <v>686</v>
      </c>
      <c r="G361" s="61" t="s">
        <v>553</v>
      </c>
      <c r="H361" s="62" t="s">
        <v>553</v>
      </c>
      <c r="I361" s="62" t="s">
        <v>553</v>
      </c>
      <c r="J361" s="62" t="s">
        <v>553</v>
      </c>
    </row>
    <row r="362" spans="1:10" ht="13.5" customHeight="1">
      <c r="A362" s="52">
        <v>4</v>
      </c>
      <c r="B362" s="89">
        <v>3</v>
      </c>
      <c r="C362" s="52">
        <v>4</v>
      </c>
      <c r="D362" s="52">
        <v>0</v>
      </c>
      <c r="E362" s="52">
        <v>4340</v>
      </c>
      <c r="F362" s="97" t="s">
        <v>756</v>
      </c>
      <c r="G362" s="53" t="s">
        <v>553</v>
      </c>
      <c r="H362" s="54" t="s">
        <v>553</v>
      </c>
      <c r="I362" s="54" t="s">
        <v>553</v>
      </c>
      <c r="J362" s="54" t="s">
        <v>553</v>
      </c>
    </row>
    <row r="363" spans="1:10" ht="13.5" customHeight="1">
      <c r="A363" s="55">
        <v>4</v>
      </c>
      <c r="B363" s="91">
        <v>3</v>
      </c>
      <c r="C363" s="55">
        <v>4</v>
      </c>
      <c r="D363" s="55">
        <v>1</v>
      </c>
      <c r="E363" s="56">
        <v>4341</v>
      </c>
      <c r="F363" s="95" t="s">
        <v>658</v>
      </c>
      <c r="G363" s="57" t="s">
        <v>553</v>
      </c>
      <c r="H363" s="58" t="s">
        <v>553</v>
      </c>
      <c r="I363" s="58" t="s">
        <v>553</v>
      </c>
      <c r="J363" s="58" t="s">
        <v>553</v>
      </c>
    </row>
    <row r="364" spans="1:10" ht="13.5" customHeight="1">
      <c r="A364" s="59">
        <v>4</v>
      </c>
      <c r="B364" s="92">
        <v>3</v>
      </c>
      <c r="C364" s="59">
        <v>4</v>
      </c>
      <c r="D364" s="59">
        <v>2</v>
      </c>
      <c r="E364" s="60">
        <v>4342</v>
      </c>
      <c r="F364" s="96" t="s">
        <v>659</v>
      </c>
      <c r="G364" s="61" t="s">
        <v>553</v>
      </c>
      <c r="H364" s="62" t="s">
        <v>553</v>
      </c>
      <c r="I364" s="62" t="s">
        <v>553</v>
      </c>
      <c r="J364" s="62" t="s">
        <v>553</v>
      </c>
    </row>
    <row r="365" spans="1:10" ht="13.5" customHeight="1">
      <c r="A365" s="59">
        <v>4</v>
      </c>
      <c r="B365" s="93">
        <v>3</v>
      </c>
      <c r="C365" s="59">
        <v>4</v>
      </c>
      <c r="D365" s="59">
        <v>3</v>
      </c>
      <c r="E365" s="60">
        <v>4343</v>
      </c>
      <c r="F365" s="96" t="s">
        <v>686</v>
      </c>
      <c r="G365" s="61" t="s">
        <v>553</v>
      </c>
      <c r="H365" s="62" t="s">
        <v>553</v>
      </c>
      <c r="I365" s="62" t="s">
        <v>553</v>
      </c>
      <c r="J365" s="62" t="s">
        <v>553</v>
      </c>
    </row>
    <row r="366" spans="1:10" ht="13.5" customHeight="1">
      <c r="A366" s="52">
        <v>4</v>
      </c>
      <c r="B366" s="89">
        <v>3</v>
      </c>
      <c r="C366" s="52">
        <v>5</v>
      </c>
      <c r="D366" s="52">
        <v>0</v>
      </c>
      <c r="E366" s="52">
        <v>4350</v>
      </c>
      <c r="F366" s="97" t="s">
        <v>757</v>
      </c>
      <c r="G366" s="53" t="s">
        <v>553</v>
      </c>
      <c r="H366" s="54" t="s">
        <v>553</v>
      </c>
      <c r="I366" s="54" t="s">
        <v>553</v>
      </c>
      <c r="J366" s="54" t="s">
        <v>553</v>
      </c>
    </row>
    <row r="367" spans="1:10" ht="13.5" customHeight="1">
      <c r="A367" s="55">
        <v>4</v>
      </c>
      <c r="B367" s="91">
        <v>3</v>
      </c>
      <c r="C367" s="55">
        <v>5</v>
      </c>
      <c r="D367" s="55">
        <v>1</v>
      </c>
      <c r="E367" s="56">
        <v>4351</v>
      </c>
      <c r="F367" s="95" t="s">
        <v>658</v>
      </c>
      <c r="G367" s="57" t="s">
        <v>553</v>
      </c>
      <c r="H367" s="58" t="s">
        <v>553</v>
      </c>
      <c r="I367" s="58" t="s">
        <v>553</v>
      </c>
      <c r="J367" s="58" t="s">
        <v>553</v>
      </c>
    </row>
    <row r="368" spans="1:10" ht="13.5" customHeight="1">
      <c r="A368" s="59">
        <v>4</v>
      </c>
      <c r="B368" s="92">
        <v>3</v>
      </c>
      <c r="C368" s="59">
        <v>5</v>
      </c>
      <c r="D368" s="59">
        <v>2</v>
      </c>
      <c r="E368" s="60">
        <v>4352</v>
      </c>
      <c r="F368" s="96" t="s">
        <v>659</v>
      </c>
      <c r="G368" s="61" t="s">
        <v>553</v>
      </c>
      <c r="H368" s="62" t="s">
        <v>553</v>
      </c>
      <c r="I368" s="62" t="s">
        <v>553</v>
      </c>
      <c r="J368" s="62" t="s">
        <v>553</v>
      </c>
    </row>
    <row r="369" spans="1:10" ht="13.5" customHeight="1">
      <c r="A369" s="59">
        <v>4</v>
      </c>
      <c r="B369" s="93">
        <v>3</v>
      </c>
      <c r="C369" s="59">
        <v>5</v>
      </c>
      <c r="D369" s="59">
        <v>3</v>
      </c>
      <c r="E369" s="60">
        <v>4353</v>
      </c>
      <c r="F369" s="96" t="s">
        <v>686</v>
      </c>
      <c r="G369" s="61" t="s">
        <v>553</v>
      </c>
      <c r="H369" s="62" t="s">
        <v>553</v>
      </c>
      <c r="I369" s="62" t="s">
        <v>553</v>
      </c>
      <c r="J369" s="62" t="s">
        <v>553</v>
      </c>
    </row>
    <row r="370" spans="1:10" ht="13.5" customHeight="1">
      <c r="A370" s="52">
        <v>4</v>
      </c>
      <c r="B370" s="89">
        <v>3</v>
      </c>
      <c r="C370" s="52">
        <v>6</v>
      </c>
      <c r="D370" s="52">
        <v>0</v>
      </c>
      <c r="E370" s="52">
        <v>4360</v>
      </c>
      <c r="F370" s="97" t="s">
        <v>758</v>
      </c>
      <c r="G370" s="53" t="s">
        <v>553</v>
      </c>
      <c r="H370" s="54" t="s">
        <v>553</v>
      </c>
      <c r="I370" s="54" t="s">
        <v>553</v>
      </c>
      <c r="J370" s="54" t="s">
        <v>553</v>
      </c>
    </row>
    <row r="371" spans="1:10" ht="13.5" customHeight="1">
      <c r="A371" s="55">
        <v>4</v>
      </c>
      <c r="B371" s="91">
        <v>3</v>
      </c>
      <c r="C371" s="55">
        <v>6</v>
      </c>
      <c r="D371" s="55">
        <v>1</v>
      </c>
      <c r="E371" s="56">
        <v>4361</v>
      </c>
      <c r="F371" s="95" t="s">
        <v>658</v>
      </c>
      <c r="G371" s="57" t="s">
        <v>553</v>
      </c>
      <c r="H371" s="58" t="s">
        <v>553</v>
      </c>
      <c r="I371" s="58" t="s">
        <v>553</v>
      </c>
      <c r="J371" s="58" t="s">
        <v>553</v>
      </c>
    </row>
    <row r="372" spans="1:10" ht="13.5" customHeight="1">
      <c r="A372" s="59">
        <v>4</v>
      </c>
      <c r="B372" s="92">
        <v>3</v>
      </c>
      <c r="C372" s="59">
        <v>6</v>
      </c>
      <c r="D372" s="59">
        <v>2</v>
      </c>
      <c r="E372" s="60">
        <v>4362</v>
      </c>
      <c r="F372" s="96" t="s">
        <v>659</v>
      </c>
      <c r="G372" s="61" t="s">
        <v>553</v>
      </c>
      <c r="H372" s="62" t="s">
        <v>553</v>
      </c>
      <c r="I372" s="62" t="s">
        <v>553</v>
      </c>
      <c r="J372" s="62" t="s">
        <v>553</v>
      </c>
    </row>
    <row r="373" spans="1:10" ht="13.5" customHeight="1">
      <c r="A373" s="59">
        <v>4</v>
      </c>
      <c r="B373" s="93">
        <v>3</v>
      </c>
      <c r="C373" s="59">
        <v>6</v>
      </c>
      <c r="D373" s="59">
        <v>3</v>
      </c>
      <c r="E373" s="60">
        <v>4363</v>
      </c>
      <c r="F373" s="96" t="s">
        <v>686</v>
      </c>
      <c r="G373" s="61" t="s">
        <v>553</v>
      </c>
      <c r="H373" s="62" t="s">
        <v>553</v>
      </c>
      <c r="I373" s="62" t="s">
        <v>553</v>
      </c>
      <c r="J373" s="62" t="s">
        <v>553</v>
      </c>
    </row>
    <row r="374" spans="1:10" ht="13.5" customHeight="1">
      <c r="A374" s="52">
        <v>4</v>
      </c>
      <c r="B374" s="89">
        <v>3</v>
      </c>
      <c r="C374" s="52">
        <v>8</v>
      </c>
      <c r="D374" s="52">
        <v>0</v>
      </c>
      <c r="E374" s="52">
        <v>4380</v>
      </c>
      <c r="F374" s="97" t="s">
        <v>744</v>
      </c>
      <c r="G374" s="53" t="s">
        <v>553</v>
      </c>
      <c r="H374" s="54" t="s">
        <v>553</v>
      </c>
      <c r="I374" s="54" t="s">
        <v>553</v>
      </c>
      <c r="J374" s="54" t="s">
        <v>553</v>
      </c>
    </row>
    <row r="375" spans="1:10" ht="13.5" customHeight="1">
      <c r="A375" s="55">
        <v>4</v>
      </c>
      <c r="B375" s="91">
        <v>3</v>
      </c>
      <c r="C375" s="55">
        <v>8</v>
      </c>
      <c r="D375" s="55">
        <v>1</v>
      </c>
      <c r="E375" s="56">
        <v>4381</v>
      </c>
      <c r="F375" s="95" t="s">
        <v>745</v>
      </c>
      <c r="G375" s="57" t="s">
        <v>553</v>
      </c>
      <c r="H375" s="58" t="s">
        <v>553</v>
      </c>
      <c r="I375" s="58" t="s">
        <v>553</v>
      </c>
      <c r="J375" s="58" t="s">
        <v>553</v>
      </c>
    </row>
    <row r="376" spans="1:10" ht="13.5" customHeight="1">
      <c r="A376" s="59">
        <v>4</v>
      </c>
      <c r="B376" s="92">
        <v>3</v>
      </c>
      <c r="C376" s="59">
        <v>8</v>
      </c>
      <c r="D376" s="59">
        <v>2</v>
      </c>
      <c r="E376" s="60">
        <v>4382</v>
      </c>
      <c r="F376" s="96" t="s">
        <v>746</v>
      </c>
      <c r="G376" s="61" t="s">
        <v>553</v>
      </c>
      <c r="H376" s="62" t="s">
        <v>553</v>
      </c>
      <c r="I376" s="62" t="s">
        <v>553</v>
      </c>
      <c r="J376" s="62" t="s">
        <v>553</v>
      </c>
    </row>
    <row r="377" spans="1:10" ht="13.5" customHeight="1">
      <c r="A377" s="59">
        <v>4</v>
      </c>
      <c r="B377" s="93">
        <v>3</v>
      </c>
      <c r="C377" s="59">
        <v>8</v>
      </c>
      <c r="D377" s="59">
        <v>3</v>
      </c>
      <c r="E377" s="77">
        <v>4383</v>
      </c>
      <c r="F377" s="96" t="s">
        <v>759</v>
      </c>
      <c r="G377" s="61" t="s">
        <v>721</v>
      </c>
      <c r="H377" s="62" t="s">
        <v>721</v>
      </c>
      <c r="I377" s="62" t="s">
        <v>721</v>
      </c>
      <c r="J377" s="62" t="s">
        <v>721</v>
      </c>
    </row>
    <row r="378" spans="1:10" ht="13.5" customHeight="1">
      <c r="A378" s="52">
        <v>4</v>
      </c>
      <c r="B378" s="89">
        <v>3</v>
      </c>
      <c r="C378" s="52">
        <v>9</v>
      </c>
      <c r="D378" s="52">
        <v>0</v>
      </c>
      <c r="E378" s="52">
        <v>4390</v>
      </c>
      <c r="F378" s="97" t="s">
        <v>541</v>
      </c>
      <c r="G378" s="53" t="s">
        <v>553</v>
      </c>
      <c r="H378" s="54" t="s">
        <v>553</v>
      </c>
      <c r="I378" s="54" t="s">
        <v>553</v>
      </c>
      <c r="J378" s="54" t="s">
        <v>553</v>
      </c>
    </row>
    <row r="379" spans="1:10" ht="13.5" customHeight="1">
      <c r="A379" s="59">
        <v>4</v>
      </c>
      <c r="B379" s="91">
        <v>3</v>
      </c>
      <c r="C379" s="59">
        <v>9</v>
      </c>
      <c r="D379" s="59">
        <v>8</v>
      </c>
      <c r="E379" s="60">
        <v>4398</v>
      </c>
      <c r="F379" s="96" t="s">
        <v>666</v>
      </c>
      <c r="G379" s="61" t="s">
        <v>553</v>
      </c>
      <c r="H379" s="62" t="s">
        <v>553</v>
      </c>
      <c r="I379" s="62" t="s">
        <v>553</v>
      </c>
      <c r="J379" s="62" t="s">
        <v>553</v>
      </c>
    </row>
    <row r="380" spans="1:10" ht="13.5" customHeight="1">
      <c r="A380" s="63">
        <v>4</v>
      </c>
      <c r="B380" s="93">
        <v>3</v>
      </c>
      <c r="C380" s="63">
        <v>9</v>
      </c>
      <c r="D380" s="63">
        <v>9</v>
      </c>
      <c r="E380" s="64">
        <v>4399</v>
      </c>
      <c r="F380" s="98" t="s">
        <v>667</v>
      </c>
      <c r="G380" s="65" t="s">
        <v>553</v>
      </c>
      <c r="H380" s="66" t="s">
        <v>553</v>
      </c>
      <c r="I380" s="66" t="s">
        <v>553</v>
      </c>
      <c r="J380" s="66" t="s">
        <v>553</v>
      </c>
    </row>
    <row r="381" spans="1:10" ht="13.5" customHeight="1">
      <c r="A381" s="46">
        <v>4</v>
      </c>
      <c r="B381" s="90">
        <v>4</v>
      </c>
      <c r="C381" s="46">
        <v>0</v>
      </c>
      <c r="D381" s="46">
        <v>0</v>
      </c>
      <c r="E381" s="46">
        <v>4400</v>
      </c>
      <c r="F381" s="99" t="s">
        <v>760</v>
      </c>
      <c r="G381" s="75" t="s">
        <v>712</v>
      </c>
      <c r="H381" s="76" t="s">
        <v>712</v>
      </c>
      <c r="I381" s="76" t="s">
        <v>712</v>
      </c>
      <c r="J381" s="76" t="s">
        <v>712</v>
      </c>
    </row>
    <row r="382" spans="1:10" ht="13.5" customHeight="1">
      <c r="A382" s="52">
        <v>4</v>
      </c>
      <c r="B382" s="89">
        <v>4</v>
      </c>
      <c r="C382" s="52">
        <v>1</v>
      </c>
      <c r="D382" s="52">
        <v>0</v>
      </c>
      <c r="E382" s="52">
        <v>4410</v>
      </c>
      <c r="F382" s="97" t="s">
        <v>761</v>
      </c>
      <c r="G382" s="75" t="s">
        <v>712</v>
      </c>
      <c r="H382" s="76" t="s">
        <v>712</v>
      </c>
      <c r="I382" s="76" t="s">
        <v>712</v>
      </c>
      <c r="J382" s="76" t="s">
        <v>712</v>
      </c>
    </row>
    <row r="383" spans="1:10" ht="13.5" customHeight="1">
      <c r="A383" s="55">
        <v>4</v>
      </c>
      <c r="B383" s="91">
        <v>4</v>
      </c>
      <c r="C383" s="55">
        <v>1</v>
      </c>
      <c r="D383" s="55">
        <v>1</v>
      </c>
      <c r="E383" s="56">
        <v>4411</v>
      </c>
      <c r="F383" s="95" t="s">
        <v>762</v>
      </c>
      <c r="G383" s="78" t="s">
        <v>763</v>
      </c>
      <c r="H383" s="79" t="s">
        <v>763</v>
      </c>
      <c r="I383" s="79" t="s">
        <v>763</v>
      </c>
      <c r="J383" s="79" t="s">
        <v>763</v>
      </c>
    </row>
    <row r="384" spans="1:10" ht="13.5" customHeight="1">
      <c r="A384" s="59">
        <v>4</v>
      </c>
      <c r="B384" s="92">
        <v>4</v>
      </c>
      <c r="C384" s="59">
        <v>1</v>
      </c>
      <c r="D384" s="59">
        <v>2</v>
      </c>
      <c r="E384" s="60">
        <v>4412</v>
      </c>
      <c r="F384" s="96" t="s">
        <v>764</v>
      </c>
      <c r="G384" s="80" t="s">
        <v>763</v>
      </c>
      <c r="H384" s="81" t="s">
        <v>763</v>
      </c>
      <c r="I384" s="81" t="s">
        <v>763</v>
      </c>
      <c r="J384" s="81" t="s">
        <v>763</v>
      </c>
    </row>
    <row r="385" spans="1:10" ht="13.5" customHeight="1">
      <c r="A385" s="59">
        <v>4</v>
      </c>
      <c r="B385" s="93">
        <v>4</v>
      </c>
      <c r="C385" s="59">
        <v>1</v>
      </c>
      <c r="D385" s="59">
        <v>3</v>
      </c>
      <c r="E385" s="60">
        <v>4413</v>
      </c>
      <c r="F385" s="96" t="s">
        <v>765</v>
      </c>
      <c r="G385" s="80" t="s">
        <v>763</v>
      </c>
      <c r="H385" s="81" t="s">
        <v>763</v>
      </c>
      <c r="I385" s="81" t="s">
        <v>763</v>
      </c>
      <c r="J385" s="81" t="s">
        <v>763</v>
      </c>
    </row>
    <row r="386" spans="1:10" ht="13.5" customHeight="1">
      <c r="A386" s="52">
        <v>4</v>
      </c>
      <c r="B386" s="89">
        <v>4</v>
      </c>
      <c r="C386" s="52">
        <v>2</v>
      </c>
      <c r="D386" s="52">
        <v>0</v>
      </c>
      <c r="E386" s="52">
        <v>4420</v>
      </c>
      <c r="F386" s="97" t="s">
        <v>766</v>
      </c>
      <c r="G386" s="75" t="s">
        <v>712</v>
      </c>
      <c r="H386" s="76" t="s">
        <v>712</v>
      </c>
      <c r="I386" s="76" t="s">
        <v>712</v>
      </c>
      <c r="J386" s="76" t="s">
        <v>712</v>
      </c>
    </row>
    <row r="387" spans="1:10" ht="13.5" customHeight="1">
      <c r="A387" s="55">
        <v>4</v>
      </c>
      <c r="B387" s="91">
        <v>4</v>
      </c>
      <c r="C387" s="55">
        <v>2</v>
      </c>
      <c r="D387" s="55">
        <v>1</v>
      </c>
      <c r="E387" s="56">
        <v>4421</v>
      </c>
      <c r="F387" s="95" t="s">
        <v>762</v>
      </c>
      <c r="G387" s="78" t="s">
        <v>763</v>
      </c>
      <c r="H387" s="79" t="s">
        <v>763</v>
      </c>
      <c r="I387" s="79" t="s">
        <v>763</v>
      </c>
      <c r="J387" s="79" t="s">
        <v>763</v>
      </c>
    </row>
    <row r="388" spans="1:10" ht="13.5" customHeight="1">
      <c r="A388" s="59">
        <v>4</v>
      </c>
      <c r="B388" s="92">
        <v>4</v>
      </c>
      <c r="C388" s="59">
        <v>2</v>
      </c>
      <c r="D388" s="59">
        <v>2</v>
      </c>
      <c r="E388" s="60">
        <v>4422</v>
      </c>
      <c r="F388" s="96" t="s">
        <v>764</v>
      </c>
      <c r="G388" s="80" t="s">
        <v>763</v>
      </c>
      <c r="H388" s="81" t="s">
        <v>763</v>
      </c>
      <c r="I388" s="81" t="s">
        <v>763</v>
      </c>
      <c r="J388" s="81" t="s">
        <v>763</v>
      </c>
    </row>
    <row r="389" spans="1:10" ht="13.5" customHeight="1">
      <c r="A389" s="59">
        <v>4</v>
      </c>
      <c r="B389" s="93">
        <v>4</v>
      </c>
      <c r="C389" s="59">
        <v>2</v>
      </c>
      <c r="D389" s="59">
        <v>3</v>
      </c>
      <c r="E389" s="60">
        <v>4423</v>
      </c>
      <c r="F389" s="96" t="s">
        <v>765</v>
      </c>
      <c r="G389" s="80" t="s">
        <v>763</v>
      </c>
      <c r="H389" s="81" t="s">
        <v>763</v>
      </c>
      <c r="I389" s="81" t="s">
        <v>763</v>
      </c>
      <c r="J389" s="81" t="s">
        <v>763</v>
      </c>
    </row>
    <row r="390" spans="1:10" ht="13.5" customHeight="1">
      <c r="A390" s="52">
        <v>4</v>
      </c>
      <c r="B390" s="89">
        <v>4</v>
      </c>
      <c r="C390" s="52">
        <v>3</v>
      </c>
      <c r="D390" s="52">
        <v>0</v>
      </c>
      <c r="E390" s="52">
        <v>4430</v>
      </c>
      <c r="F390" s="97" t="s">
        <v>767</v>
      </c>
      <c r="G390" s="75" t="s">
        <v>712</v>
      </c>
      <c r="H390" s="76" t="s">
        <v>712</v>
      </c>
      <c r="I390" s="76" t="s">
        <v>712</v>
      </c>
      <c r="J390" s="76" t="s">
        <v>712</v>
      </c>
    </row>
    <row r="391" spans="1:10" ht="13.5" customHeight="1">
      <c r="A391" s="55">
        <v>4</v>
      </c>
      <c r="B391" s="91">
        <v>4</v>
      </c>
      <c r="C391" s="55">
        <v>3</v>
      </c>
      <c r="D391" s="55">
        <v>1</v>
      </c>
      <c r="E391" s="56">
        <v>4431</v>
      </c>
      <c r="F391" s="95" t="s">
        <v>762</v>
      </c>
      <c r="G391" s="78" t="s">
        <v>763</v>
      </c>
      <c r="H391" s="79" t="s">
        <v>763</v>
      </c>
      <c r="I391" s="79" t="s">
        <v>763</v>
      </c>
      <c r="J391" s="79" t="s">
        <v>763</v>
      </c>
    </row>
    <row r="392" spans="1:10" ht="13.5" customHeight="1">
      <c r="A392" s="59">
        <v>4</v>
      </c>
      <c r="B392" s="92">
        <v>4</v>
      </c>
      <c r="C392" s="59">
        <v>3</v>
      </c>
      <c r="D392" s="59">
        <v>2</v>
      </c>
      <c r="E392" s="60">
        <v>4432</v>
      </c>
      <c r="F392" s="96" t="s">
        <v>764</v>
      </c>
      <c r="G392" s="80" t="s">
        <v>763</v>
      </c>
      <c r="H392" s="81" t="s">
        <v>763</v>
      </c>
      <c r="I392" s="81" t="s">
        <v>763</v>
      </c>
      <c r="J392" s="81" t="s">
        <v>763</v>
      </c>
    </row>
    <row r="393" spans="1:10" ht="13.5" customHeight="1">
      <c r="A393" s="59">
        <v>4</v>
      </c>
      <c r="B393" s="93">
        <v>4</v>
      </c>
      <c r="C393" s="59">
        <v>3</v>
      </c>
      <c r="D393" s="59">
        <v>3</v>
      </c>
      <c r="E393" s="60">
        <v>4433</v>
      </c>
      <c r="F393" s="96" t="s">
        <v>765</v>
      </c>
      <c r="G393" s="80" t="s">
        <v>763</v>
      </c>
      <c r="H393" s="81" t="s">
        <v>763</v>
      </c>
      <c r="I393" s="81" t="s">
        <v>763</v>
      </c>
      <c r="J393" s="81" t="s">
        <v>763</v>
      </c>
    </row>
    <row r="394" spans="1:10" ht="13.5" customHeight="1">
      <c r="A394" s="52">
        <v>4</v>
      </c>
      <c r="B394" s="89">
        <v>4</v>
      </c>
      <c r="C394" s="52">
        <v>4</v>
      </c>
      <c r="D394" s="52">
        <v>0</v>
      </c>
      <c r="E394" s="52">
        <v>4440</v>
      </c>
      <c r="F394" s="97" t="s">
        <v>768</v>
      </c>
      <c r="G394" s="75" t="s">
        <v>712</v>
      </c>
      <c r="H394" s="76" t="s">
        <v>712</v>
      </c>
      <c r="I394" s="76" t="s">
        <v>712</v>
      </c>
      <c r="J394" s="76" t="s">
        <v>712</v>
      </c>
    </row>
    <row r="395" spans="1:10" ht="13.5" customHeight="1">
      <c r="A395" s="55">
        <v>4</v>
      </c>
      <c r="B395" s="91">
        <v>4</v>
      </c>
      <c r="C395" s="55">
        <v>4</v>
      </c>
      <c r="D395" s="55">
        <v>1</v>
      </c>
      <c r="E395" s="56">
        <v>4441</v>
      </c>
      <c r="F395" s="95" t="s">
        <v>762</v>
      </c>
      <c r="G395" s="78" t="s">
        <v>763</v>
      </c>
      <c r="H395" s="79" t="s">
        <v>763</v>
      </c>
      <c r="I395" s="79" t="s">
        <v>763</v>
      </c>
      <c r="J395" s="79" t="s">
        <v>763</v>
      </c>
    </row>
    <row r="396" spans="1:10" ht="13.5" customHeight="1">
      <c r="A396" s="59">
        <v>4</v>
      </c>
      <c r="B396" s="92">
        <v>4</v>
      </c>
      <c r="C396" s="59">
        <v>4</v>
      </c>
      <c r="D396" s="59">
        <v>2</v>
      </c>
      <c r="E396" s="60">
        <v>4442</v>
      </c>
      <c r="F396" s="96" t="s">
        <v>764</v>
      </c>
      <c r="G396" s="80" t="s">
        <v>763</v>
      </c>
      <c r="H396" s="81" t="s">
        <v>763</v>
      </c>
      <c r="I396" s="81" t="s">
        <v>763</v>
      </c>
      <c r="J396" s="81" t="s">
        <v>763</v>
      </c>
    </row>
    <row r="397" spans="1:10" ht="13.5" customHeight="1">
      <c r="A397" s="59">
        <v>4</v>
      </c>
      <c r="B397" s="93">
        <v>4</v>
      </c>
      <c r="C397" s="59">
        <v>4</v>
      </c>
      <c r="D397" s="59">
        <v>3</v>
      </c>
      <c r="E397" s="60">
        <v>4443</v>
      </c>
      <c r="F397" s="96" t="s">
        <v>765</v>
      </c>
      <c r="G397" s="80" t="s">
        <v>763</v>
      </c>
      <c r="H397" s="81" t="s">
        <v>763</v>
      </c>
      <c r="I397" s="81" t="s">
        <v>763</v>
      </c>
      <c r="J397" s="81" t="s">
        <v>763</v>
      </c>
    </row>
    <row r="398" spans="1:10" ht="13.5" customHeight="1">
      <c r="A398" s="52">
        <v>4</v>
      </c>
      <c r="B398" s="89">
        <v>4</v>
      </c>
      <c r="C398" s="52">
        <v>5</v>
      </c>
      <c r="D398" s="52">
        <v>0</v>
      </c>
      <c r="E398" s="52">
        <v>4450</v>
      </c>
      <c r="F398" s="97" t="s">
        <v>769</v>
      </c>
      <c r="G398" s="75" t="s">
        <v>712</v>
      </c>
      <c r="H398" s="76" t="s">
        <v>712</v>
      </c>
      <c r="I398" s="76" t="s">
        <v>712</v>
      </c>
      <c r="J398" s="76" t="s">
        <v>712</v>
      </c>
    </row>
    <row r="399" spans="1:10" ht="13.5" customHeight="1">
      <c r="A399" s="52">
        <v>4</v>
      </c>
      <c r="B399" s="89">
        <v>4</v>
      </c>
      <c r="C399" s="52">
        <v>8</v>
      </c>
      <c r="D399" s="52">
        <v>0</v>
      </c>
      <c r="E399" s="52">
        <v>4480</v>
      </c>
      <c r="F399" s="97" t="s">
        <v>770</v>
      </c>
      <c r="G399" s="75" t="s">
        <v>712</v>
      </c>
      <c r="H399" s="76" t="s">
        <v>712</v>
      </c>
      <c r="I399" s="76" t="s">
        <v>712</v>
      </c>
      <c r="J399" s="76" t="s">
        <v>712</v>
      </c>
    </row>
    <row r="400" spans="1:10" ht="13.5" customHeight="1">
      <c r="A400" s="52">
        <v>4</v>
      </c>
      <c r="B400" s="89">
        <v>4</v>
      </c>
      <c r="C400" s="52">
        <v>9</v>
      </c>
      <c r="D400" s="52">
        <v>0</v>
      </c>
      <c r="E400" s="52">
        <v>4490</v>
      </c>
      <c r="F400" s="97" t="s">
        <v>771</v>
      </c>
      <c r="G400" s="75" t="s">
        <v>712</v>
      </c>
      <c r="H400" s="76" t="s">
        <v>712</v>
      </c>
      <c r="I400" s="76" t="s">
        <v>712</v>
      </c>
      <c r="J400" s="76" t="s">
        <v>712</v>
      </c>
    </row>
    <row r="401" spans="1:10" ht="13.5" customHeight="1">
      <c r="A401" s="59">
        <v>4</v>
      </c>
      <c r="B401" s="91">
        <v>4</v>
      </c>
      <c r="C401" s="59">
        <v>9</v>
      </c>
      <c r="D401" s="59">
        <v>8</v>
      </c>
      <c r="E401" s="60">
        <v>4498</v>
      </c>
      <c r="F401" s="96" t="s">
        <v>772</v>
      </c>
      <c r="G401" s="80" t="s">
        <v>763</v>
      </c>
      <c r="H401" s="81" t="s">
        <v>763</v>
      </c>
      <c r="I401" s="81" t="s">
        <v>763</v>
      </c>
      <c r="J401" s="81" t="s">
        <v>763</v>
      </c>
    </row>
    <row r="402" spans="1:10" ht="13.5" customHeight="1">
      <c r="A402" s="63">
        <v>4</v>
      </c>
      <c r="B402" s="93">
        <v>4</v>
      </c>
      <c r="C402" s="63">
        <v>9</v>
      </c>
      <c r="D402" s="63">
        <v>9</v>
      </c>
      <c r="E402" s="64">
        <v>4499</v>
      </c>
      <c r="F402" s="98" t="s">
        <v>773</v>
      </c>
      <c r="G402" s="82" t="s">
        <v>763</v>
      </c>
      <c r="H402" s="83" t="s">
        <v>763</v>
      </c>
      <c r="I402" s="83" t="s">
        <v>763</v>
      </c>
      <c r="J402" s="83" t="s">
        <v>763</v>
      </c>
    </row>
    <row r="403" spans="1:10" ht="13.5" customHeight="1">
      <c r="A403" s="46">
        <v>4</v>
      </c>
      <c r="B403" s="90">
        <v>5</v>
      </c>
      <c r="C403" s="46">
        <v>0</v>
      </c>
      <c r="D403" s="46">
        <v>0</v>
      </c>
      <c r="E403" s="46">
        <v>4500</v>
      </c>
      <c r="F403" s="99" t="s">
        <v>774</v>
      </c>
      <c r="G403" s="75" t="s">
        <v>712</v>
      </c>
      <c r="H403" s="76" t="s">
        <v>712</v>
      </c>
      <c r="I403" s="76" t="s">
        <v>712</v>
      </c>
      <c r="J403" s="76" t="s">
        <v>712</v>
      </c>
    </row>
    <row r="404" spans="1:10" ht="13.5" customHeight="1">
      <c r="A404" s="52">
        <v>4</v>
      </c>
      <c r="B404" s="89">
        <v>5</v>
      </c>
      <c r="C404" s="52">
        <v>1</v>
      </c>
      <c r="D404" s="52">
        <v>0</v>
      </c>
      <c r="E404" s="52">
        <v>4510</v>
      </c>
      <c r="F404" s="97" t="s">
        <v>775</v>
      </c>
      <c r="G404" s="75" t="s">
        <v>712</v>
      </c>
      <c r="H404" s="76" t="s">
        <v>712</v>
      </c>
      <c r="I404" s="76" t="s">
        <v>712</v>
      </c>
      <c r="J404" s="76" t="s">
        <v>712</v>
      </c>
    </row>
    <row r="405" spans="1:10" ht="13.5" customHeight="1">
      <c r="A405" s="52">
        <v>4</v>
      </c>
      <c r="B405" s="89">
        <v>5</v>
      </c>
      <c r="C405" s="52">
        <v>2</v>
      </c>
      <c r="D405" s="52">
        <v>0</v>
      </c>
      <c r="E405" s="52">
        <v>4520</v>
      </c>
      <c r="F405" s="97" t="s">
        <v>776</v>
      </c>
      <c r="G405" s="75" t="s">
        <v>712</v>
      </c>
      <c r="H405" s="76" t="s">
        <v>712</v>
      </c>
      <c r="I405" s="76" t="s">
        <v>712</v>
      </c>
      <c r="J405" s="76" t="s">
        <v>712</v>
      </c>
    </row>
    <row r="406" spans="1:10" ht="13.5" customHeight="1">
      <c r="A406" s="52">
        <v>4</v>
      </c>
      <c r="B406" s="89">
        <v>5</v>
      </c>
      <c r="C406" s="52">
        <v>3</v>
      </c>
      <c r="D406" s="52">
        <v>0</v>
      </c>
      <c r="E406" s="52">
        <v>4530</v>
      </c>
      <c r="F406" s="97" t="s">
        <v>777</v>
      </c>
      <c r="G406" s="75" t="s">
        <v>712</v>
      </c>
      <c r="H406" s="76" t="s">
        <v>712</v>
      </c>
      <c r="I406" s="76" t="s">
        <v>712</v>
      </c>
      <c r="J406" s="76" t="s">
        <v>712</v>
      </c>
    </row>
    <row r="407" spans="1:10" ht="13.5" customHeight="1">
      <c r="A407" s="52">
        <v>4</v>
      </c>
      <c r="B407" s="89">
        <v>5</v>
      </c>
      <c r="C407" s="52">
        <v>4</v>
      </c>
      <c r="D407" s="52">
        <v>0</v>
      </c>
      <c r="E407" s="52">
        <v>4540</v>
      </c>
      <c r="F407" s="97" t="s">
        <v>778</v>
      </c>
      <c r="G407" s="75" t="s">
        <v>712</v>
      </c>
      <c r="H407" s="76" t="s">
        <v>712</v>
      </c>
      <c r="I407" s="76" t="s">
        <v>712</v>
      </c>
      <c r="J407" s="76" t="s">
        <v>712</v>
      </c>
    </row>
    <row r="408" spans="1:10" ht="13.5" customHeight="1">
      <c r="A408" s="52">
        <v>4</v>
      </c>
      <c r="B408" s="89">
        <v>5</v>
      </c>
      <c r="C408" s="52">
        <v>8</v>
      </c>
      <c r="D408" s="52">
        <v>0</v>
      </c>
      <c r="E408" s="52">
        <v>4580</v>
      </c>
      <c r="F408" s="97" t="s">
        <v>770</v>
      </c>
      <c r="G408" s="75" t="s">
        <v>712</v>
      </c>
      <c r="H408" s="76" t="s">
        <v>712</v>
      </c>
      <c r="I408" s="76" t="s">
        <v>712</v>
      </c>
      <c r="J408" s="76" t="s">
        <v>712</v>
      </c>
    </row>
    <row r="409" spans="1:10" ht="13.5" customHeight="1">
      <c r="A409" s="52">
        <v>4</v>
      </c>
      <c r="B409" s="89">
        <v>5</v>
      </c>
      <c r="C409" s="52">
        <v>9</v>
      </c>
      <c r="D409" s="52">
        <v>0</v>
      </c>
      <c r="E409" s="52">
        <v>4590</v>
      </c>
      <c r="F409" s="97" t="s">
        <v>779</v>
      </c>
      <c r="G409" s="75" t="s">
        <v>712</v>
      </c>
      <c r="H409" s="76" t="s">
        <v>712</v>
      </c>
      <c r="I409" s="76" t="s">
        <v>712</v>
      </c>
      <c r="J409" s="76" t="s">
        <v>712</v>
      </c>
    </row>
    <row r="410" spans="1:10" ht="13.5" customHeight="1">
      <c r="A410" s="46">
        <v>4</v>
      </c>
      <c r="B410" s="90">
        <v>6</v>
      </c>
      <c r="C410" s="46">
        <v>0</v>
      </c>
      <c r="D410" s="46">
        <v>0</v>
      </c>
      <c r="E410" s="46">
        <v>4600</v>
      </c>
      <c r="F410" s="99" t="s">
        <v>780</v>
      </c>
      <c r="G410" s="48" t="s">
        <v>553</v>
      </c>
      <c r="H410" s="49" t="s">
        <v>553</v>
      </c>
      <c r="I410" s="49" t="s">
        <v>553</v>
      </c>
      <c r="J410" s="49" t="s">
        <v>553</v>
      </c>
    </row>
    <row r="411" spans="1:10" ht="13.5" customHeight="1">
      <c r="A411" s="52">
        <v>4</v>
      </c>
      <c r="B411" s="89">
        <v>6</v>
      </c>
      <c r="C411" s="52">
        <v>1</v>
      </c>
      <c r="D411" s="52">
        <v>0</v>
      </c>
      <c r="E411" s="52">
        <v>4610</v>
      </c>
      <c r="F411" s="97" t="s">
        <v>781</v>
      </c>
      <c r="G411" s="53" t="s">
        <v>553</v>
      </c>
      <c r="H411" s="54" t="s">
        <v>553</v>
      </c>
      <c r="I411" s="54" t="s">
        <v>553</v>
      </c>
      <c r="J411" s="54" t="s">
        <v>553</v>
      </c>
    </row>
    <row r="412" spans="1:10" ht="13.5" customHeight="1">
      <c r="A412" s="55">
        <v>4</v>
      </c>
      <c r="B412" s="91">
        <v>6</v>
      </c>
      <c r="C412" s="55">
        <v>1</v>
      </c>
      <c r="D412" s="55">
        <v>1</v>
      </c>
      <c r="E412" s="56">
        <v>4611</v>
      </c>
      <c r="F412" s="95" t="s">
        <v>782</v>
      </c>
      <c r="G412" s="57" t="s">
        <v>553</v>
      </c>
      <c r="H412" s="58" t="s">
        <v>553</v>
      </c>
      <c r="I412" s="58" t="s">
        <v>553</v>
      </c>
      <c r="J412" s="58" t="s">
        <v>553</v>
      </c>
    </row>
    <row r="413" spans="1:10" ht="13.5" customHeight="1">
      <c r="A413" s="59">
        <v>4</v>
      </c>
      <c r="B413" s="92">
        <v>6</v>
      </c>
      <c r="C413" s="59">
        <v>1</v>
      </c>
      <c r="D413" s="59">
        <v>2</v>
      </c>
      <c r="E413" s="60">
        <v>4612</v>
      </c>
      <c r="F413" s="96" t="s">
        <v>783</v>
      </c>
      <c r="G413" s="61" t="s">
        <v>553</v>
      </c>
      <c r="H413" s="62" t="s">
        <v>553</v>
      </c>
      <c r="I413" s="62" t="s">
        <v>553</v>
      </c>
      <c r="J413" s="62" t="s">
        <v>553</v>
      </c>
    </row>
    <row r="414" spans="1:10" ht="13.5" customHeight="1">
      <c r="A414" s="59">
        <v>4</v>
      </c>
      <c r="B414" s="92">
        <v>6</v>
      </c>
      <c r="C414" s="59">
        <v>1</v>
      </c>
      <c r="D414" s="59">
        <v>3</v>
      </c>
      <c r="E414" s="60">
        <v>4613</v>
      </c>
      <c r="F414" s="96" t="s">
        <v>784</v>
      </c>
      <c r="G414" s="61" t="s">
        <v>553</v>
      </c>
      <c r="H414" s="62" t="s">
        <v>553</v>
      </c>
      <c r="I414" s="62" t="s">
        <v>553</v>
      </c>
      <c r="J414" s="62" t="s">
        <v>553</v>
      </c>
    </row>
    <row r="415" spans="1:10" ht="13.5" customHeight="1">
      <c r="A415" s="59">
        <v>4</v>
      </c>
      <c r="B415" s="93">
        <v>6</v>
      </c>
      <c r="C415" s="59">
        <v>1</v>
      </c>
      <c r="D415" s="59">
        <v>4</v>
      </c>
      <c r="E415" s="60">
        <v>4614</v>
      </c>
      <c r="F415" s="96" t="s">
        <v>785</v>
      </c>
      <c r="G415" s="61" t="s">
        <v>553</v>
      </c>
      <c r="H415" s="62" t="s">
        <v>553</v>
      </c>
      <c r="I415" s="62" t="s">
        <v>553</v>
      </c>
      <c r="J415" s="62" t="s">
        <v>553</v>
      </c>
    </row>
    <row r="416" spans="1:10" ht="13.5" customHeight="1">
      <c r="A416" s="52">
        <v>4</v>
      </c>
      <c r="B416" s="89">
        <v>6</v>
      </c>
      <c r="C416" s="52">
        <v>2</v>
      </c>
      <c r="D416" s="52">
        <v>0</v>
      </c>
      <c r="E416" s="52">
        <v>4620</v>
      </c>
      <c r="F416" s="97" t="s">
        <v>786</v>
      </c>
      <c r="G416" s="53" t="s">
        <v>553</v>
      </c>
      <c r="H416" s="54" t="s">
        <v>553</v>
      </c>
      <c r="I416" s="54" t="s">
        <v>553</v>
      </c>
      <c r="J416" s="54" t="s">
        <v>553</v>
      </c>
    </row>
    <row r="417" spans="1:10" ht="13.5" customHeight="1">
      <c r="A417" s="55">
        <v>4</v>
      </c>
      <c r="B417" s="91">
        <v>6</v>
      </c>
      <c r="C417" s="55">
        <v>2</v>
      </c>
      <c r="D417" s="55">
        <v>1</v>
      </c>
      <c r="E417" s="56">
        <v>4621</v>
      </c>
      <c r="F417" s="95" t="s">
        <v>787</v>
      </c>
      <c r="G417" s="57" t="s">
        <v>553</v>
      </c>
      <c r="H417" s="58" t="s">
        <v>553</v>
      </c>
      <c r="I417" s="58" t="s">
        <v>553</v>
      </c>
      <c r="J417" s="58" t="s">
        <v>553</v>
      </c>
    </row>
    <row r="418" spans="1:10" ht="13.5" customHeight="1">
      <c r="A418" s="59">
        <v>4</v>
      </c>
      <c r="B418" s="92">
        <v>6</v>
      </c>
      <c r="C418" s="59">
        <v>2</v>
      </c>
      <c r="D418" s="59">
        <v>2</v>
      </c>
      <c r="E418" s="60">
        <v>4622</v>
      </c>
      <c r="F418" s="96" t="s">
        <v>788</v>
      </c>
      <c r="G418" s="61" t="s">
        <v>553</v>
      </c>
      <c r="H418" s="62" t="s">
        <v>553</v>
      </c>
      <c r="I418" s="62" t="s">
        <v>553</v>
      </c>
      <c r="J418" s="62" t="s">
        <v>553</v>
      </c>
    </row>
    <row r="419" spans="1:10" ht="13.5" customHeight="1">
      <c r="A419" s="59">
        <v>4</v>
      </c>
      <c r="B419" s="92">
        <v>6</v>
      </c>
      <c r="C419" s="59">
        <v>2</v>
      </c>
      <c r="D419" s="59">
        <v>3</v>
      </c>
      <c r="E419" s="77">
        <v>4623</v>
      </c>
      <c r="F419" s="96" t="s">
        <v>789</v>
      </c>
      <c r="G419" s="61" t="s">
        <v>553</v>
      </c>
      <c r="H419" s="62" t="s">
        <v>553</v>
      </c>
      <c r="I419" s="62" t="s">
        <v>553</v>
      </c>
      <c r="J419" s="62" t="s">
        <v>553</v>
      </c>
    </row>
    <row r="420" spans="1:10" ht="13.5" customHeight="1">
      <c r="A420" s="59">
        <v>4</v>
      </c>
      <c r="B420" s="92">
        <v>6</v>
      </c>
      <c r="C420" s="59">
        <v>2</v>
      </c>
      <c r="D420" s="59">
        <v>4</v>
      </c>
      <c r="E420" s="77">
        <v>4624</v>
      </c>
      <c r="F420" s="96" t="s">
        <v>790</v>
      </c>
      <c r="G420" s="61" t="s">
        <v>553</v>
      </c>
      <c r="H420" s="62" t="s">
        <v>553</v>
      </c>
      <c r="I420" s="62" t="s">
        <v>553</v>
      </c>
      <c r="J420" s="62" t="s">
        <v>553</v>
      </c>
    </row>
    <row r="421" spans="1:10" ht="13.5" customHeight="1">
      <c r="A421" s="59">
        <v>4</v>
      </c>
      <c r="B421" s="92">
        <v>6</v>
      </c>
      <c r="C421" s="59">
        <v>2</v>
      </c>
      <c r="D421" s="59">
        <v>5</v>
      </c>
      <c r="E421" s="77">
        <v>4625</v>
      </c>
      <c r="F421" s="96" t="s">
        <v>791</v>
      </c>
      <c r="G421" s="61" t="s">
        <v>553</v>
      </c>
      <c r="H421" s="62" t="s">
        <v>553</v>
      </c>
      <c r="I421" s="62" t="s">
        <v>553</v>
      </c>
      <c r="J421" s="62" t="s">
        <v>553</v>
      </c>
    </row>
    <row r="422" spans="1:10" ht="13.5" customHeight="1">
      <c r="A422" s="59">
        <v>4</v>
      </c>
      <c r="B422" s="92">
        <v>6</v>
      </c>
      <c r="C422" s="59">
        <v>2</v>
      </c>
      <c r="D422" s="59">
        <v>6</v>
      </c>
      <c r="E422" s="77">
        <v>4626</v>
      </c>
      <c r="F422" s="96" t="s">
        <v>792</v>
      </c>
      <c r="G422" s="61" t="s">
        <v>721</v>
      </c>
      <c r="H422" s="62" t="s">
        <v>721</v>
      </c>
      <c r="I422" s="62" t="s">
        <v>721</v>
      </c>
      <c r="J422" s="62" t="s">
        <v>721</v>
      </c>
    </row>
    <row r="423" spans="1:10" ht="13.5" customHeight="1">
      <c r="A423" s="59">
        <v>4</v>
      </c>
      <c r="B423" s="93">
        <v>6</v>
      </c>
      <c r="C423" s="59">
        <v>2</v>
      </c>
      <c r="D423" s="59">
        <v>7</v>
      </c>
      <c r="E423" s="77">
        <v>4627</v>
      </c>
      <c r="F423" s="96" t="s">
        <v>793</v>
      </c>
      <c r="G423" s="61" t="s">
        <v>721</v>
      </c>
      <c r="H423" s="62" t="s">
        <v>721</v>
      </c>
      <c r="I423" s="62" t="s">
        <v>721</v>
      </c>
      <c r="J423" s="62" t="s">
        <v>721</v>
      </c>
    </row>
    <row r="424" spans="1:10" ht="13.5" customHeight="1">
      <c r="A424" s="52">
        <v>4</v>
      </c>
      <c r="B424" s="89">
        <v>6</v>
      </c>
      <c r="C424" s="52">
        <v>3</v>
      </c>
      <c r="D424" s="52">
        <v>0</v>
      </c>
      <c r="E424" s="52">
        <v>4630</v>
      </c>
      <c r="F424" s="97" t="s">
        <v>794</v>
      </c>
      <c r="G424" s="53" t="s">
        <v>553</v>
      </c>
      <c r="H424" s="54" t="s">
        <v>553</v>
      </c>
      <c r="I424" s="54" t="s">
        <v>553</v>
      </c>
      <c r="J424" s="54" t="s">
        <v>553</v>
      </c>
    </row>
    <row r="425" spans="1:10" ht="13.5" customHeight="1">
      <c r="A425" s="55">
        <v>4</v>
      </c>
      <c r="B425" s="91">
        <v>6</v>
      </c>
      <c r="C425" s="55">
        <v>3</v>
      </c>
      <c r="D425" s="55">
        <v>1</v>
      </c>
      <c r="E425" s="56">
        <v>4631</v>
      </c>
      <c r="F425" s="95" t="s">
        <v>795</v>
      </c>
      <c r="G425" s="57" t="s">
        <v>553</v>
      </c>
      <c r="H425" s="58" t="s">
        <v>553</v>
      </c>
      <c r="I425" s="58" t="s">
        <v>553</v>
      </c>
      <c r="J425" s="58" t="s">
        <v>553</v>
      </c>
    </row>
    <row r="426" spans="1:10" ht="13.5" customHeight="1">
      <c r="A426" s="59">
        <v>4</v>
      </c>
      <c r="B426" s="92">
        <v>6</v>
      </c>
      <c r="C426" s="59">
        <v>3</v>
      </c>
      <c r="D426" s="59">
        <v>2</v>
      </c>
      <c r="E426" s="60">
        <v>4632</v>
      </c>
      <c r="F426" s="96" t="s">
        <v>796</v>
      </c>
      <c r="G426" s="61" t="s">
        <v>553</v>
      </c>
      <c r="H426" s="62" t="s">
        <v>553</v>
      </c>
      <c r="I426" s="62" t="s">
        <v>553</v>
      </c>
      <c r="J426" s="62" t="s">
        <v>553</v>
      </c>
    </row>
    <row r="427" spans="1:10" ht="13.5" customHeight="1">
      <c r="A427" s="59">
        <v>4</v>
      </c>
      <c r="B427" s="92">
        <v>6</v>
      </c>
      <c r="C427" s="59">
        <v>3</v>
      </c>
      <c r="D427" s="59">
        <v>4</v>
      </c>
      <c r="E427" s="77">
        <v>4634</v>
      </c>
      <c r="F427" s="96" t="s">
        <v>797</v>
      </c>
      <c r="G427" s="61" t="s">
        <v>721</v>
      </c>
      <c r="H427" s="62" t="s">
        <v>721</v>
      </c>
      <c r="I427" s="62" t="s">
        <v>721</v>
      </c>
      <c r="J427" s="62" t="s">
        <v>721</v>
      </c>
    </row>
    <row r="428" spans="1:10" ht="13.5" customHeight="1">
      <c r="A428" s="59">
        <v>4</v>
      </c>
      <c r="B428" s="93">
        <v>6</v>
      </c>
      <c r="C428" s="59">
        <v>3</v>
      </c>
      <c r="D428" s="59">
        <v>6</v>
      </c>
      <c r="E428" s="77">
        <v>4636</v>
      </c>
      <c r="F428" s="96" t="s">
        <v>798</v>
      </c>
      <c r="G428" s="61" t="s">
        <v>529</v>
      </c>
      <c r="H428" s="62" t="s">
        <v>529</v>
      </c>
      <c r="I428" s="62" t="s">
        <v>529</v>
      </c>
      <c r="J428" s="62" t="s">
        <v>529</v>
      </c>
    </row>
    <row r="429" spans="1:10" ht="13.5" customHeight="1">
      <c r="A429" s="52">
        <v>4</v>
      </c>
      <c r="B429" s="89">
        <v>6</v>
      </c>
      <c r="C429" s="52">
        <v>5</v>
      </c>
      <c r="D429" s="52">
        <v>0</v>
      </c>
      <c r="E429" s="52">
        <v>4650</v>
      </c>
      <c r="F429" s="97" t="s">
        <v>799</v>
      </c>
      <c r="G429" s="75" t="s">
        <v>712</v>
      </c>
      <c r="H429" s="76" t="s">
        <v>712</v>
      </c>
      <c r="I429" s="76" t="s">
        <v>712</v>
      </c>
      <c r="J429" s="76" t="s">
        <v>712</v>
      </c>
    </row>
    <row r="430" spans="1:10" ht="13.5" customHeight="1">
      <c r="A430" s="52">
        <v>4</v>
      </c>
      <c r="B430" s="89">
        <v>6</v>
      </c>
      <c r="C430" s="52">
        <v>6</v>
      </c>
      <c r="D430" s="52">
        <v>0</v>
      </c>
      <c r="E430" s="52">
        <v>4660</v>
      </c>
      <c r="F430" s="97" t="s">
        <v>800</v>
      </c>
      <c r="G430" s="75" t="s">
        <v>712</v>
      </c>
      <c r="H430" s="76" t="s">
        <v>712</v>
      </c>
      <c r="I430" s="76" t="s">
        <v>712</v>
      </c>
      <c r="J430" s="76" t="s">
        <v>712</v>
      </c>
    </row>
    <row r="431" spans="1:10" ht="13.5" customHeight="1">
      <c r="A431" s="52">
        <v>4</v>
      </c>
      <c r="B431" s="89">
        <v>6</v>
      </c>
      <c r="C431" s="52">
        <v>7</v>
      </c>
      <c r="D431" s="52">
        <v>0</v>
      </c>
      <c r="E431" s="52">
        <v>4670</v>
      </c>
      <c r="F431" s="97" t="s">
        <v>801</v>
      </c>
      <c r="G431" s="75" t="s">
        <v>712</v>
      </c>
      <c r="H431" s="76" t="s">
        <v>712</v>
      </c>
      <c r="I431" s="76" t="s">
        <v>712</v>
      </c>
      <c r="J431" s="76" t="s">
        <v>712</v>
      </c>
    </row>
    <row r="432" spans="1:10" ht="13.5" customHeight="1">
      <c r="A432" s="52">
        <v>4</v>
      </c>
      <c r="B432" s="89">
        <v>6</v>
      </c>
      <c r="C432" s="52">
        <v>9</v>
      </c>
      <c r="D432" s="52">
        <v>0</v>
      </c>
      <c r="E432" s="52">
        <v>4690</v>
      </c>
      <c r="F432" s="97" t="s">
        <v>541</v>
      </c>
      <c r="G432" s="53" t="s">
        <v>553</v>
      </c>
      <c r="H432" s="54" t="s">
        <v>553</v>
      </c>
      <c r="I432" s="54" t="s">
        <v>553</v>
      </c>
      <c r="J432" s="54" t="s">
        <v>553</v>
      </c>
    </row>
    <row r="433" spans="1:10" ht="13.5" customHeight="1">
      <c r="A433" s="59">
        <v>4</v>
      </c>
      <c r="B433" s="91">
        <v>6</v>
      </c>
      <c r="C433" s="59">
        <v>9</v>
      </c>
      <c r="D433" s="59">
        <v>7</v>
      </c>
      <c r="E433" s="60">
        <v>4697</v>
      </c>
      <c r="F433" s="96" t="s">
        <v>802</v>
      </c>
      <c r="G433" s="61" t="s">
        <v>553</v>
      </c>
      <c r="H433" s="62" t="s">
        <v>553</v>
      </c>
      <c r="I433" s="62" t="s">
        <v>553</v>
      </c>
      <c r="J433" s="62" t="s">
        <v>553</v>
      </c>
    </row>
    <row r="434" spans="1:10" ht="13.5" customHeight="1">
      <c r="A434" s="59">
        <v>4</v>
      </c>
      <c r="B434" s="92">
        <v>6</v>
      </c>
      <c r="C434" s="59">
        <v>9</v>
      </c>
      <c r="D434" s="59">
        <v>8</v>
      </c>
      <c r="E434" s="60">
        <v>4698</v>
      </c>
      <c r="F434" s="96" t="s">
        <v>666</v>
      </c>
      <c r="G434" s="61" t="s">
        <v>553</v>
      </c>
      <c r="H434" s="62" t="s">
        <v>553</v>
      </c>
      <c r="I434" s="62" t="s">
        <v>553</v>
      </c>
      <c r="J434" s="62" t="s">
        <v>553</v>
      </c>
    </row>
    <row r="435" spans="1:10" ht="13.5" customHeight="1">
      <c r="A435" s="63">
        <v>4</v>
      </c>
      <c r="B435" s="93">
        <v>6</v>
      </c>
      <c r="C435" s="63">
        <v>9</v>
      </c>
      <c r="D435" s="63">
        <v>9</v>
      </c>
      <c r="E435" s="64">
        <v>4699</v>
      </c>
      <c r="F435" s="98" t="s">
        <v>667</v>
      </c>
      <c r="G435" s="65" t="s">
        <v>553</v>
      </c>
      <c r="H435" s="66" t="s">
        <v>553</v>
      </c>
      <c r="I435" s="66" t="s">
        <v>553</v>
      </c>
      <c r="J435" s="66" t="s">
        <v>553</v>
      </c>
    </row>
    <row r="436" spans="1:10" ht="13.5" customHeight="1">
      <c r="A436" s="46">
        <v>4</v>
      </c>
      <c r="B436" s="90">
        <v>7</v>
      </c>
      <c r="C436" s="46">
        <v>0</v>
      </c>
      <c r="D436" s="46">
        <v>0</v>
      </c>
      <c r="E436" s="46">
        <v>4700</v>
      </c>
      <c r="F436" s="99" t="s">
        <v>803</v>
      </c>
      <c r="G436" s="48" t="s">
        <v>553</v>
      </c>
      <c r="H436" s="49" t="s">
        <v>553</v>
      </c>
      <c r="I436" s="49" t="s">
        <v>553</v>
      </c>
      <c r="J436" s="49" t="s">
        <v>553</v>
      </c>
    </row>
    <row r="437" spans="1:10" ht="13.5" customHeight="1">
      <c r="A437" s="52">
        <v>4</v>
      </c>
      <c r="B437" s="89">
        <v>7</v>
      </c>
      <c r="C437" s="52">
        <v>1</v>
      </c>
      <c r="D437" s="52">
        <v>0</v>
      </c>
      <c r="E437" s="52">
        <v>4710</v>
      </c>
      <c r="F437" s="97" t="s">
        <v>804</v>
      </c>
      <c r="G437" s="53" t="s">
        <v>553</v>
      </c>
      <c r="H437" s="54" t="s">
        <v>553</v>
      </c>
      <c r="I437" s="54" t="s">
        <v>553</v>
      </c>
      <c r="J437" s="54" t="s">
        <v>553</v>
      </c>
    </row>
    <row r="438" spans="1:10" ht="13.5" customHeight="1">
      <c r="A438" s="55">
        <v>4</v>
      </c>
      <c r="B438" s="91">
        <v>7</v>
      </c>
      <c r="C438" s="55">
        <v>1</v>
      </c>
      <c r="D438" s="55">
        <v>1</v>
      </c>
      <c r="E438" s="56">
        <v>4711</v>
      </c>
      <c r="F438" s="95" t="s">
        <v>805</v>
      </c>
      <c r="G438" s="57" t="s">
        <v>553</v>
      </c>
      <c r="H438" s="58" t="s">
        <v>553</v>
      </c>
      <c r="I438" s="58" t="s">
        <v>553</v>
      </c>
      <c r="J438" s="58" t="s">
        <v>553</v>
      </c>
    </row>
    <row r="439" spans="1:10" ht="13.5" customHeight="1">
      <c r="A439" s="59">
        <v>4</v>
      </c>
      <c r="B439" s="92">
        <v>7</v>
      </c>
      <c r="C439" s="59">
        <v>1</v>
      </c>
      <c r="D439" s="59">
        <v>2</v>
      </c>
      <c r="E439" s="60">
        <v>4712</v>
      </c>
      <c r="F439" s="96" t="s">
        <v>806</v>
      </c>
      <c r="G439" s="61" t="s">
        <v>553</v>
      </c>
      <c r="H439" s="62" t="s">
        <v>553</v>
      </c>
      <c r="I439" s="62" t="s">
        <v>553</v>
      </c>
      <c r="J439" s="62" t="s">
        <v>553</v>
      </c>
    </row>
    <row r="440" spans="1:10" ht="13.5" customHeight="1">
      <c r="A440" s="59">
        <v>4</v>
      </c>
      <c r="B440" s="92">
        <v>7</v>
      </c>
      <c r="C440" s="59">
        <v>1</v>
      </c>
      <c r="D440" s="59">
        <v>3</v>
      </c>
      <c r="E440" s="60">
        <v>4713</v>
      </c>
      <c r="F440" s="96" t="s">
        <v>807</v>
      </c>
      <c r="G440" s="61" t="s">
        <v>553</v>
      </c>
      <c r="H440" s="62" t="s">
        <v>553</v>
      </c>
      <c r="I440" s="62" t="s">
        <v>553</v>
      </c>
      <c r="J440" s="62" t="s">
        <v>553</v>
      </c>
    </row>
    <row r="441" spans="1:10" ht="13.5" customHeight="1">
      <c r="A441" s="59">
        <v>4</v>
      </c>
      <c r="B441" s="92">
        <v>7</v>
      </c>
      <c r="C441" s="59">
        <v>1</v>
      </c>
      <c r="D441" s="59">
        <v>4</v>
      </c>
      <c r="E441" s="60">
        <v>4714</v>
      </c>
      <c r="F441" s="96" t="s">
        <v>808</v>
      </c>
      <c r="G441" s="61" t="s">
        <v>553</v>
      </c>
      <c r="H441" s="62" t="s">
        <v>553</v>
      </c>
      <c r="I441" s="62" t="s">
        <v>553</v>
      </c>
      <c r="J441" s="62" t="s">
        <v>553</v>
      </c>
    </row>
    <row r="442" spans="1:10" ht="13.5" customHeight="1">
      <c r="A442" s="59">
        <v>4</v>
      </c>
      <c r="B442" s="92">
        <v>7</v>
      </c>
      <c r="C442" s="59">
        <v>1</v>
      </c>
      <c r="D442" s="59">
        <v>5</v>
      </c>
      <c r="E442" s="60">
        <v>4715</v>
      </c>
      <c r="F442" s="96" t="s">
        <v>784</v>
      </c>
      <c r="G442" s="61" t="s">
        <v>553</v>
      </c>
      <c r="H442" s="62" t="s">
        <v>553</v>
      </c>
      <c r="I442" s="62" t="s">
        <v>553</v>
      </c>
      <c r="J442" s="62" t="s">
        <v>553</v>
      </c>
    </row>
    <row r="443" spans="1:10" ht="13.5" customHeight="1">
      <c r="A443" s="59">
        <v>4</v>
      </c>
      <c r="B443" s="93">
        <v>7</v>
      </c>
      <c r="C443" s="59">
        <v>1</v>
      </c>
      <c r="D443" s="59">
        <v>6</v>
      </c>
      <c r="E443" s="60">
        <v>4716</v>
      </c>
      <c r="F443" s="96" t="s">
        <v>785</v>
      </c>
      <c r="G443" s="61" t="s">
        <v>553</v>
      </c>
      <c r="H443" s="62" t="s">
        <v>553</v>
      </c>
      <c r="I443" s="62" t="s">
        <v>553</v>
      </c>
      <c r="J443" s="62" t="s">
        <v>553</v>
      </c>
    </row>
    <row r="444" spans="1:10" ht="13.5" customHeight="1">
      <c r="A444" s="52">
        <v>4</v>
      </c>
      <c r="B444" s="89">
        <v>7</v>
      </c>
      <c r="C444" s="52">
        <v>2</v>
      </c>
      <c r="D444" s="52">
        <v>0</v>
      </c>
      <c r="E444" s="52">
        <v>4720</v>
      </c>
      <c r="F444" s="97" t="s">
        <v>809</v>
      </c>
      <c r="G444" s="53" t="s">
        <v>553</v>
      </c>
      <c r="H444" s="54" t="s">
        <v>553</v>
      </c>
      <c r="I444" s="54" t="s">
        <v>553</v>
      </c>
      <c r="J444" s="54" t="s">
        <v>553</v>
      </c>
    </row>
    <row r="445" spans="1:10" ht="13.5" customHeight="1">
      <c r="A445" s="55">
        <v>4</v>
      </c>
      <c r="B445" s="91">
        <v>7</v>
      </c>
      <c r="C445" s="55">
        <v>2</v>
      </c>
      <c r="D445" s="55">
        <v>1</v>
      </c>
      <c r="E445" s="56">
        <v>4721</v>
      </c>
      <c r="F445" s="95" t="s">
        <v>810</v>
      </c>
      <c r="G445" s="57" t="s">
        <v>553</v>
      </c>
      <c r="H445" s="58" t="s">
        <v>553</v>
      </c>
      <c r="I445" s="58" t="s">
        <v>553</v>
      </c>
      <c r="J445" s="58" t="s">
        <v>553</v>
      </c>
    </row>
    <row r="446" spans="1:10" ht="13.5" customHeight="1">
      <c r="A446" s="59">
        <v>4</v>
      </c>
      <c r="B446" s="92">
        <v>7</v>
      </c>
      <c r="C446" s="59">
        <v>2</v>
      </c>
      <c r="D446" s="59">
        <v>2</v>
      </c>
      <c r="E446" s="60">
        <v>4722</v>
      </c>
      <c r="F446" s="96" t="s">
        <v>811</v>
      </c>
      <c r="G446" s="61" t="s">
        <v>553</v>
      </c>
      <c r="H446" s="62" t="s">
        <v>553</v>
      </c>
      <c r="I446" s="62" t="s">
        <v>553</v>
      </c>
      <c r="J446" s="62" t="s">
        <v>553</v>
      </c>
    </row>
    <row r="447" spans="1:10" ht="13.5" customHeight="1">
      <c r="A447" s="59">
        <v>4</v>
      </c>
      <c r="B447" s="93">
        <v>7</v>
      </c>
      <c r="C447" s="59">
        <v>2</v>
      </c>
      <c r="D447" s="59">
        <v>3</v>
      </c>
      <c r="E447" s="60">
        <v>4723</v>
      </c>
      <c r="F447" s="96" t="s">
        <v>812</v>
      </c>
      <c r="G447" s="61" t="s">
        <v>553</v>
      </c>
      <c r="H447" s="62" t="s">
        <v>553</v>
      </c>
      <c r="I447" s="62" t="s">
        <v>553</v>
      </c>
      <c r="J447" s="62" t="s">
        <v>553</v>
      </c>
    </row>
    <row r="448" spans="1:10" ht="13.5" customHeight="1">
      <c r="A448" s="52">
        <v>4</v>
      </c>
      <c r="B448" s="89">
        <v>7</v>
      </c>
      <c r="C448" s="52">
        <v>3</v>
      </c>
      <c r="D448" s="52">
        <v>0</v>
      </c>
      <c r="E448" s="52">
        <v>4730</v>
      </c>
      <c r="F448" s="97" t="s">
        <v>813</v>
      </c>
      <c r="G448" s="75" t="s">
        <v>712</v>
      </c>
      <c r="H448" s="76" t="s">
        <v>712</v>
      </c>
      <c r="I448" s="76" t="s">
        <v>712</v>
      </c>
      <c r="J448" s="76" t="s">
        <v>712</v>
      </c>
    </row>
    <row r="449" spans="1:10" ht="13.5" customHeight="1">
      <c r="A449" s="52">
        <v>4</v>
      </c>
      <c r="B449" s="89">
        <v>7</v>
      </c>
      <c r="C449" s="52">
        <v>4</v>
      </c>
      <c r="D449" s="52">
        <v>0</v>
      </c>
      <c r="E449" s="52">
        <v>4740</v>
      </c>
      <c r="F449" s="97" t="s">
        <v>814</v>
      </c>
      <c r="G449" s="75" t="s">
        <v>712</v>
      </c>
      <c r="H449" s="76" t="s">
        <v>712</v>
      </c>
      <c r="I449" s="76" t="s">
        <v>712</v>
      </c>
      <c r="J449" s="76" t="s">
        <v>712</v>
      </c>
    </row>
    <row r="450" spans="1:10" ht="13.5" customHeight="1">
      <c r="A450" s="55">
        <v>4</v>
      </c>
      <c r="B450" s="91">
        <v>7</v>
      </c>
      <c r="C450" s="55">
        <v>4</v>
      </c>
      <c r="D450" s="55">
        <v>1</v>
      </c>
      <c r="E450" s="56">
        <v>4741</v>
      </c>
      <c r="F450" s="95" t="s">
        <v>762</v>
      </c>
      <c r="G450" s="78" t="s">
        <v>763</v>
      </c>
      <c r="H450" s="79" t="s">
        <v>763</v>
      </c>
      <c r="I450" s="79" t="s">
        <v>763</v>
      </c>
      <c r="J450" s="79" t="s">
        <v>763</v>
      </c>
    </row>
    <row r="451" spans="1:10" ht="13.5" customHeight="1">
      <c r="A451" s="59">
        <v>4</v>
      </c>
      <c r="B451" s="92">
        <v>7</v>
      </c>
      <c r="C451" s="59">
        <v>4</v>
      </c>
      <c r="D451" s="59">
        <v>2</v>
      </c>
      <c r="E451" s="60">
        <v>4742</v>
      </c>
      <c r="F451" s="96" t="s">
        <v>764</v>
      </c>
      <c r="G451" s="80" t="s">
        <v>763</v>
      </c>
      <c r="H451" s="81" t="s">
        <v>763</v>
      </c>
      <c r="I451" s="81" t="s">
        <v>763</v>
      </c>
      <c r="J451" s="81" t="s">
        <v>763</v>
      </c>
    </row>
    <row r="452" spans="1:10" ht="13.5" customHeight="1">
      <c r="A452" s="59">
        <v>4</v>
      </c>
      <c r="B452" s="93">
        <v>7</v>
      </c>
      <c r="C452" s="59">
        <v>4</v>
      </c>
      <c r="D452" s="59">
        <v>3</v>
      </c>
      <c r="E452" s="60">
        <v>4743</v>
      </c>
      <c r="F452" s="96" t="s">
        <v>765</v>
      </c>
      <c r="G452" s="80" t="s">
        <v>763</v>
      </c>
      <c r="H452" s="81" t="s">
        <v>763</v>
      </c>
      <c r="I452" s="81" t="s">
        <v>763</v>
      </c>
      <c r="J452" s="81" t="s">
        <v>763</v>
      </c>
    </row>
    <row r="453" spans="1:10" ht="13.5" customHeight="1">
      <c r="A453" s="52">
        <v>4</v>
      </c>
      <c r="B453" s="89">
        <v>7</v>
      </c>
      <c r="C453" s="52">
        <v>5</v>
      </c>
      <c r="D453" s="52">
        <v>0</v>
      </c>
      <c r="E453" s="52">
        <v>4750</v>
      </c>
      <c r="F453" s="97" t="s">
        <v>815</v>
      </c>
      <c r="G453" s="53" t="s">
        <v>553</v>
      </c>
      <c r="H453" s="54" t="s">
        <v>553</v>
      </c>
      <c r="I453" s="54" t="s">
        <v>553</v>
      </c>
      <c r="J453" s="54" t="s">
        <v>553</v>
      </c>
    </row>
    <row r="454" spans="1:10" ht="13.5" customHeight="1">
      <c r="A454" s="55">
        <v>4</v>
      </c>
      <c r="B454" s="91">
        <v>7</v>
      </c>
      <c r="C454" s="55">
        <v>5</v>
      </c>
      <c r="D454" s="55">
        <v>1</v>
      </c>
      <c r="E454" s="56">
        <v>4751</v>
      </c>
      <c r="F454" s="95" t="s">
        <v>805</v>
      </c>
      <c r="G454" s="57" t="s">
        <v>553</v>
      </c>
      <c r="H454" s="58" t="s">
        <v>553</v>
      </c>
      <c r="I454" s="58" t="s">
        <v>553</v>
      </c>
      <c r="J454" s="58" t="s">
        <v>553</v>
      </c>
    </row>
    <row r="455" spans="1:10" ht="13.5" customHeight="1">
      <c r="A455" s="59">
        <v>4</v>
      </c>
      <c r="B455" s="92">
        <v>7</v>
      </c>
      <c r="C455" s="59">
        <v>5</v>
      </c>
      <c r="D455" s="59">
        <v>2</v>
      </c>
      <c r="E455" s="60">
        <v>4752</v>
      </c>
      <c r="F455" s="96" t="s">
        <v>806</v>
      </c>
      <c r="G455" s="61" t="s">
        <v>553</v>
      </c>
      <c r="H455" s="62" t="s">
        <v>553</v>
      </c>
      <c r="I455" s="62" t="s">
        <v>553</v>
      </c>
      <c r="J455" s="62" t="s">
        <v>553</v>
      </c>
    </row>
    <row r="456" spans="1:10" ht="13.5" customHeight="1">
      <c r="A456" s="59">
        <v>4</v>
      </c>
      <c r="B456" s="92">
        <v>7</v>
      </c>
      <c r="C456" s="59">
        <v>5</v>
      </c>
      <c r="D456" s="59">
        <v>6</v>
      </c>
      <c r="E456" s="60">
        <v>4756</v>
      </c>
      <c r="F456" s="96" t="s">
        <v>807</v>
      </c>
      <c r="G456" s="61" t="s">
        <v>553</v>
      </c>
      <c r="H456" s="62" t="s">
        <v>553</v>
      </c>
      <c r="I456" s="62" t="s">
        <v>553</v>
      </c>
      <c r="J456" s="62" t="s">
        <v>553</v>
      </c>
    </row>
    <row r="457" spans="1:10" ht="13.5" customHeight="1">
      <c r="A457" s="59">
        <v>4</v>
      </c>
      <c r="B457" s="92">
        <v>7</v>
      </c>
      <c r="C457" s="59">
        <v>5</v>
      </c>
      <c r="D457" s="59">
        <v>4</v>
      </c>
      <c r="E457" s="60">
        <v>4754</v>
      </c>
      <c r="F457" s="96" t="s">
        <v>808</v>
      </c>
      <c r="G457" s="61" t="s">
        <v>553</v>
      </c>
      <c r="H457" s="62" t="s">
        <v>553</v>
      </c>
      <c r="I457" s="62" t="s">
        <v>553</v>
      </c>
      <c r="J457" s="62" t="s">
        <v>553</v>
      </c>
    </row>
    <row r="458" spans="1:10" ht="13.5" customHeight="1">
      <c r="A458" s="59">
        <v>4</v>
      </c>
      <c r="B458" s="92">
        <v>7</v>
      </c>
      <c r="C458" s="59">
        <v>5</v>
      </c>
      <c r="D458" s="59">
        <v>5</v>
      </c>
      <c r="E458" s="60">
        <v>4755</v>
      </c>
      <c r="F458" s="96" t="s">
        <v>784</v>
      </c>
      <c r="G458" s="61" t="s">
        <v>553</v>
      </c>
      <c r="H458" s="62" t="s">
        <v>553</v>
      </c>
      <c r="I458" s="62" t="s">
        <v>553</v>
      </c>
      <c r="J458" s="62" t="s">
        <v>553</v>
      </c>
    </row>
    <row r="459" spans="1:10" ht="13.5" customHeight="1">
      <c r="A459" s="59">
        <v>4</v>
      </c>
      <c r="B459" s="93">
        <v>7</v>
      </c>
      <c r="C459" s="59">
        <v>5</v>
      </c>
      <c r="D459" s="59">
        <v>6</v>
      </c>
      <c r="E459" s="60">
        <v>4756</v>
      </c>
      <c r="F459" s="96" t="s">
        <v>785</v>
      </c>
      <c r="G459" s="61" t="s">
        <v>553</v>
      </c>
      <c r="H459" s="62" t="s">
        <v>553</v>
      </c>
      <c r="I459" s="62" t="s">
        <v>553</v>
      </c>
      <c r="J459" s="62" t="s">
        <v>553</v>
      </c>
    </row>
    <row r="460" spans="1:10" ht="13.5" customHeight="1">
      <c r="A460" s="52">
        <v>4</v>
      </c>
      <c r="B460" s="89">
        <v>7</v>
      </c>
      <c r="C460" s="52">
        <v>6</v>
      </c>
      <c r="D460" s="52">
        <v>0</v>
      </c>
      <c r="E460" s="52">
        <v>4760</v>
      </c>
      <c r="F460" s="97" t="s">
        <v>816</v>
      </c>
      <c r="G460" s="53" t="s">
        <v>553</v>
      </c>
      <c r="H460" s="54" t="s">
        <v>553</v>
      </c>
      <c r="I460" s="54" t="s">
        <v>553</v>
      </c>
      <c r="J460" s="54" t="s">
        <v>553</v>
      </c>
    </row>
    <row r="461" spans="1:10" ht="13.5" customHeight="1">
      <c r="A461" s="55">
        <v>4</v>
      </c>
      <c r="B461" s="91">
        <v>7</v>
      </c>
      <c r="C461" s="55">
        <v>6</v>
      </c>
      <c r="D461" s="55">
        <v>1</v>
      </c>
      <c r="E461" s="56">
        <v>4761</v>
      </c>
      <c r="F461" s="95" t="s">
        <v>810</v>
      </c>
      <c r="G461" s="57" t="s">
        <v>553</v>
      </c>
      <c r="H461" s="58" t="s">
        <v>553</v>
      </c>
      <c r="I461" s="58" t="s">
        <v>553</v>
      </c>
      <c r="J461" s="58" t="s">
        <v>553</v>
      </c>
    </row>
    <row r="462" spans="1:10" ht="13.5" customHeight="1">
      <c r="A462" s="59">
        <v>4</v>
      </c>
      <c r="B462" s="93">
        <v>7</v>
      </c>
      <c r="C462" s="59">
        <v>6</v>
      </c>
      <c r="D462" s="59">
        <v>2</v>
      </c>
      <c r="E462" s="60">
        <v>4762</v>
      </c>
      <c r="F462" s="96" t="s">
        <v>811</v>
      </c>
      <c r="G462" s="61" t="s">
        <v>553</v>
      </c>
      <c r="H462" s="62" t="s">
        <v>553</v>
      </c>
      <c r="I462" s="62" t="s">
        <v>553</v>
      </c>
      <c r="J462" s="62" t="s">
        <v>553</v>
      </c>
    </row>
    <row r="463" spans="1:10" ht="13.5" customHeight="1">
      <c r="A463" s="52">
        <v>4</v>
      </c>
      <c r="B463" s="89">
        <v>7</v>
      </c>
      <c r="C463" s="52">
        <v>7</v>
      </c>
      <c r="D463" s="52">
        <v>0</v>
      </c>
      <c r="E463" s="52">
        <v>4770</v>
      </c>
      <c r="F463" s="97" t="s">
        <v>817</v>
      </c>
      <c r="G463" s="75" t="s">
        <v>712</v>
      </c>
      <c r="H463" s="76" t="s">
        <v>712</v>
      </c>
      <c r="I463" s="76" t="s">
        <v>712</v>
      </c>
      <c r="J463" s="76" t="s">
        <v>712</v>
      </c>
    </row>
    <row r="464" spans="1:10" ht="13.5" customHeight="1">
      <c r="A464" s="52">
        <v>4</v>
      </c>
      <c r="B464" s="89">
        <v>7</v>
      </c>
      <c r="C464" s="52">
        <v>9</v>
      </c>
      <c r="D464" s="52">
        <v>0</v>
      </c>
      <c r="E464" s="52">
        <v>4790</v>
      </c>
      <c r="F464" s="97" t="s">
        <v>541</v>
      </c>
      <c r="G464" s="53" t="s">
        <v>553</v>
      </c>
      <c r="H464" s="54" t="s">
        <v>553</v>
      </c>
      <c r="I464" s="54" t="s">
        <v>553</v>
      </c>
      <c r="J464" s="54" t="s">
        <v>553</v>
      </c>
    </row>
    <row r="465" spans="1:10" ht="13.5" customHeight="1">
      <c r="A465" s="59">
        <v>4</v>
      </c>
      <c r="B465" s="91">
        <v>7</v>
      </c>
      <c r="C465" s="59">
        <v>9</v>
      </c>
      <c r="D465" s="59">
        <v>8</v>
      </c>
      <c r="E465" s="60">
        <v>4798</v>
      </c>
      <c r="F465" s="96" t="s">
        <v>666</v>
      </c>
      <c r="G465" s="61" t="s">
        <v>553</v>
      </c>
      <c r="H465" s="62" t="s">
        <v>553</v>
      </c>
      <c r="I465" s="62" t="s">
        <v>553</v>
      </c>
      <c r="J465" s="62" t="s">
        <v>553</v>
      </c>
    </row>
    <row r="466" spans="1:10" ht="13.5" customHeight="1">
      <c r="A466" s="63">
        <v>4</v>
      </c>
      <c r="B466" s="93">
        <v>7</v>
      </c>
      <c r="C466" s="63">
        <v>9</v>
      </c>
      <c r="D466" s="63">
        <v>9</v>
      </c>
      <c r="E466" s="64">
        <v>4799</v>
      </c>
      <c r="F466" s="98" t="s">
        <v>667</v>
      </c>
      <c r="G466" s="65" t="s">
        <v>553</v>
      </c>
      <c r="H466" s="66" t="s">
        <v>553</v>
      </c>
      <c r="I466" s="66" t="s">
        <v>553</v>
      </c>
      <c r="J466" s="66" t="s">
        <v>553</v>
      </c>
    </row>
    <row r="467" spans="1:10" ht="13.5" customHeight="1">
      <c r="A467" s="46">
        <v>4</v>
      </c>
      <c r="B467" s="90">
        <v>8</v>
      </c>
      <c r="C467" s="46">
        <v>0</v>
      </c>
      <c r="D467" s="46">
        <v>0</v>
      </c>
      <c r="E467" s="46">
        <v>4800</v>
      </c>
      <c r="F467" s="99" t="s">
        <v>818</v>
      </c>
      <c r="G467" s="48" t="s">
        <v>553</v>
      </c>
      <c r="H467" s="49" t="s">
        <v>553</v>
      </c>
      <c r="I467" s="49" t="s">
        <v>553</v>
      </c>
      <c r="J467" s="49" t="s">
        <v>553</v>
      </c>
    </row>
    <row r="468" spans="1:10" ht="13.5" customHeight="1">
      <c r="A468" s="52">
        <v>4</v>
      </c>
      <c r="B468" s="89">
        <v>8</v>
      </c>
      <c r="C468" s="52">
        <v>1</v>
      </c>
      <c r="D468" s="52">
        <v>0</v>
      </c>
      <c r="E468" s="52">
        <v>4810</v>
      </c>
      <c r="F468" s="97" t="s">
        <v>502</v>
      </c>
      <c r="G468" s="53" t="s">
        <v>553</v>
      </c>
      <c r="H468" s="54" t="s">
        <v>553</v>
      </c>
      <c r="I468" s="54" t="s">
        <v>553</v>
      </c>
      <c r="J468" s="54" t="s">
        <v>553</v>
      </c>
    </row>
    <row r="469" spans="1:10" ht="13.5" customHeight="1">
      <c r="A469" s="55">
        <v>4</v>
      </c>
      <c r="B469" s="91">
        <v>8</v>
      </c>
      <c r="C469" s="55">
        <v>1</v>
      </c>
      <c r="D469" s="55">
        <v>1</v>
      </c>
      <c r="E469" s="56">
        <v>4811</v>
      </c>
      <c r="F469" s="95" t="s">
        <v>819</v>
      </c>
      <c r="G469" s="57" t="s">
        <v>553</v>
      </c>
      <c r="H469" s="58" t="s">
        <v>553</v>
      </c>
      <c r="I469" s="58" t="s">
        <v>553</v>
      </c>
      <c r="J469" s="58" t="s">
        <v>553</v>
      </c>
    </row>
    <row r="470" spans="1:10" ht="13.5" customHeight="1">
      <c r="A470" s="59">
        <v>4</v>
      </c>
      <c r="B470" s="92">
        <v>8</v>
      </c>
      <c r="C470" s="59">
        <v>1</v>
      </c>
      <c r="D470" s="59">
        <v>2</v>
      </c>
      <c r="E470" s="60">
        <v>4812</v>
      </c>
      <c r="F470" s="96" t="s">
        <v>820</v>
      </c>
      <c r="G470" s="61" t="s">
        <v>553</v>
      </c>
      <c r="H470" s="62" t="s">
        <v>553</v>
      </c>
      <c r="I470" s="62" t="s">
        <v>553</v>
      </c>
      <c r="J470" s="62" t="s">
        <v>553</v>
      </c>
    </row>
    <row r="471" spans="1:10" ht="13.5" customHeight="1">
      <c r="A471" s="59">
        <v>4</v>
      </c>
      <c r="B471" s="92">
        <v>8</v>
      </c>
      <c r="C471" s="59">
        <v>1</v>
      </c>
      <c r="D471" s="59">
        <v>3</v>
      </c>
      <c r="E471" s="60">
        <v>4813</v>
      </c>
      <c r="F471" s="96" t="s">
        <v>821</v>
      </c>
      <c r="G471" s="61" t="s">
        <v>553</v>
      </c>
      <c r="H471" s="62" t="s">
        <v>553</v>
      </c>
      <c r="I471" s="62" t="s">
        <v>553</v>
      </c>
      <c r="J471" s="62" t="s">
        <v>553</v>
      </c>
    </row>
    <row r="472" spans="1:10" ht="13.5" customHeight="1">
      <c r="A472" s="59">
        <v>4</v>
      </c>
      <c r="B472" s="92">
        <v>8</v>
      </c>
      <c r="C472" s="59">
        <v>1</v>
      </c>
      <c r="D472" s="59">
        <v>4</v>
      </c>
      <c r="E472" s="60">
        <v>4814</v>
      </c>
      <c r="F472" s="96" t="s">
        <v>822</v>
      </c>
      <c r="G472" s="61" t="s">
        <v>553</v>
      </c>
      <c r="H472" s="62" t="s">
        <v>553</v>
      </c>
      <c r="I472" s="62" t="s">
        <v>553</v>
      </c>
      <c r="J472" s="62" t="s">
        <v>553</v>
      </c>
    </row>
    <row r="473" spans="1:10" ht="13.5" customHeight="1">
      <c r="A473" s="59">
        <v>4</v>
      </c>
      <c r="B473" s="93">
        <v>8</v>
      </c>
      <c r="C473" s="59">
        <v>1</v>
      </c>
      <c r="D473" s="59">
        <v>5</v>
      </c>
      <c r="E473" s="60">
        <v>4815</v>
      </c>
      <c r="F473" s="96" t="s">
        <v>610</v>
      </c>
      <c r="G473" s="61" t="s">
        <v>553</v>
      </c>
      <c r="H473" s="62" t="s">
        <v>553</v>
      </c>
      <c r="I473" s="62" t="s">
        <v>553</v>
      </c>
      <c r="J473" s="62" t="s">
        <v>553</v>
      </c>
    </row>
    <row r="474" spans="1:10" ht="13.5" customHeight="1">
      <c r="A474" s="52">
        <v>4</v>
      </c>
      <c r="B474" s="89">
        <v>8</v>
      </c>
      <c r="C474" s="52">
        <v>2</v>
      </c>
      <c r="D474" s="52">
        <v>0</v>
      </c>
      <c r="E474" s="52">
        <v>4820</v>
      </c>
      <c r="F474" s="97" t="s">
        <v>823</v>
      </c>
      <c r="G474" s="53" t="s">
        <v>553</v>
      </c>
      <c r="H474" s="54" t="s">
        <v>553</v>
      </c>
      <c r="I474" s="54" t="s">
        <v>553</v>
      </c>
      <c r="J474" s="54" t="s">
        <v>553</v>
      </c>
    </row>
    <row r="475" spans="1:10" ht="13.5" customHeight="1">
      <c r="A475" s="55">
        <v>4</v>
      </c>
      <c r="B475" s="91">
        <v>8</v>
      </c>
      <c r="C475" s="55">
        <v>2</v>
      </c>
      <c r="D475" s="55">
        <v>1</v>
      </c>
      <c r="E475" s="56">
        <v>4821</v>
      </c>
      <c r="F475" s="95" t="s">
        <v>822</v>
      </c>
      <c r="G475" s="57" t="s">
        <v>553</v>
      </c>
      <c r="H475" s="58" t="s">
        <v>553</v>
      </c>
      <c r="I475" s="58" t="s">
        <v>553</v>
      </c>
      <c r="J475" s="58" t="s">
        <v>553</v>
      </c>
    </row>
    <row r="476" spans="1:10" ht="13.5" customHeight="1">
      <c r="A476" s="59">
        <v>4</v>
      </c>
      <c r="B476" s="93">
        <v>8</v>
      </c>
      <c r="C476" s="59">
        <v>2</v>
      </c>
      <c r="D476" s="59">
        <v>2</v>
      </c>
      <c r="E476" s="60">
        <v>4822</v>
      </c>
      <c r="F476" s="96" t="s">
        <v>610</v>
      </c>
      <c r="G476" s="61" t="s">
        <v>553</v>
      </c>
      <c r="H476" s="62" t="s">
        <v>553</v>
      </c>
      <c r="I476" s="62" t="s">
        <v>553</v>
      </c>
      <c r="J476" s="62" t="s">
        <v>553</v>
      </c>
    </row>
    <row r="477" spans="1:10" ht="13.5" customHeight="1">
      <c r="A477" s="52">
        <v>4</v>
      </c>
      <c r="B477" s="89">
        <v>8</v>
      </c>
      <c r="C477" s="52">
        <v>3</v>
      </c>
      <c r="D477" s="52">
        <v>0</v>
      </c>
      <c r="E477" s="52">
        <v>4830</v>
      </c>
      <c r="F477" s="97" t="s">
        <v>824</v>
      </c>
      <c r="G477" s="53" t="s">
        <v>553</v>
      </c>
      <c r="H477" s="54" t="s">
        <v>553</v>
      </c>
      <c r="I477" s="54" t="s">
        <v>553</v>
      </c>
      <c r="J477" s="54" t="s">
        <v>553</v>
      </c>
    </row>
    <row r="478" spans="1:10" ht="13.5" customHeight="1">
      <c r="A478" s="55">
        <v>4</v>
      </c>
      <c r="B478" s="91">
        <v>8</v>
      </c>
      <c r="C478" s="55">
        <v>3</v>
      </c>
      <c r="D478" s="55">
        <v>1</v>
      </c>
      <c r="E478" s="56">
        <v>4831</v>
      </c>
      <c r="F478" s="95" t="s">
        <v>825</v>
      </c>
      <c r="G478" s="57" t="s">
        <v>553</v>
      </c>
      <c r="H478" s="58" t="s">
        <v>553</v>
      </c>
      <c r="I478" s="58" t="s">
        <v>553</v>
      </c>
      <c r="J478" s="58" t="s">
        <v>553</v>
      </c>
    </row>
    <row r="479" spans="1:10" ht="13.5" customHeight="1">
      <c r="A479" s="59">
        <v>4</v>
      </c>
      <c r="B479" s="92">
        <v>8</v>
      </c>
      <c r="C479" s="59">
        <v>3</v>
      </c>
      <c r="D479" s="59">
        <v>2</v>
      </c>
      <c r="E479" s="60">
        <v>4832</v>
      </c>
      <c r="F479" s="96" t="s">
        <v>826</v>
      </c>
      <c r="G479" s="61" t="s">
        <v>553</v>
      </c>
      <c r="H479" s="62" t="s">
        <v>553</v>
      </c>
      <c r="I479" s="62" t="s">
        <v>553</v>
      </c>
      <c r="J479" s="62" t="s">
        <v>553</v>
      </c>
    </row>
    <row r="480" spans="1:10" ht="13.5" customHeight="1">
      <c r="A480" s="59">
        <v>4</v>
      </c>
      <c r="B480" s="92">
        <v>8</v>
      </c>
      <c r="C480" s="59">
        <v>3</v>
      </c>
      <c r="D480" s="59">
        <v>3</v>
      </c>
      <c r="E480" s="60">
        <v>4833</v>
      </c>
      <c r="F480" s="96" t="s">
        <v>827</v>
      </c>
      <c r="G480" s="61" t="s">
        <v>553</v>
      </c>
      <c r="H480" s="62" t="s">
        <v>553</v>
      </c>
      <c r="I480" s="62" t="s">
        <v>553</v>
      </c>
      <c r="J480" s="62" t="s">
        <v>553</v>
      </c>
    </row>
    <row r="481" spans="1:10" ht="13.5" customHeight="1">
      <c r="A481" s="59">
        <v>4</v>
      </c>
      <c r="B481" s="92">
        <v>8</v>
      </c>
      <c r="C481" s="59">
        <v>3</v>
      </c>
      <c r="D481" s="59">
        <v>4</v>
      </c>
      <c r="E481" s="60">
        <v>4834</v>
      </c>
      <c r="F481" s="96" t="s">
        <v>828</v>
      </c>
      <c r="G481" s="61" t="s">
        <v>553</v>
      </c>
      <c r="H481" s="62" t="s">
        <v>553</v>
      </c>
      <c r="I481" s="62" t="s">
        <v>553</v>
      </c>
      <c r="J481" s="62" t="s">
        <v>553</v>
      </c>
    </row>
    <row r="482" spans="1:10" ht="13.5" customHeight="1">
      <c r="A482" s="59">
        <v>4</v>
      </c>
      <c r="B482" s="92">
        <v>8</v>
      </c>
      <c r="C482" s="59">
        <v>3</v>
      </c>
      <c r="D482" s="59">
        <v>5</v>
      </c>
      <c r="E482" s="60">
        <v>4835</v>
      </c>
      <c r="F482" s="96" t="s">
        <v>829</v>
      </c>
      <c r="G482" s="61" t="s">
        <v>553</v>
      </c>
      <c r="H482" s="62" t="s">
        <v>553</v>
      </c>
      <c r="I482" s="62" t="s">
        <v>553</v>
      </c>
      <c r="J482" s="62" t="s">
        <v>553</v>
      </c>
    </row>
    <row r="483" spans="1:10" ht="13.5" customHeight="1">
      <c r="A483" s="59">
        <v>4</v>
      </c>
      <c r="B483" s="93">
        <v>8</v>
      </c>
      <c r="C483" s="59">
        <v>3</v>
      </c>
      <c r="D483" s="59">
        <v>6</v>
      </c>
      <c r="E483" s="60">
        <v>4836</v>
      </c>
      <c r="F483" s="96" t="s">
        <v>830</v>
      </c>
      <c r="G483" s="61" t="s">
        <v>553</v>
      </c>
      <c r="H483" s="62" t="s">
        <v>553</v>
      </c>
      <c r="I483" s="62" t="s">
        <v>553</v>
      </c>
      <c r="J483" s="62" t="s">
        <v>553</v>
      </c>
    </row>
    <row r="484" spans="1:10" ht="13.5" customHeight="1">
      <c r="A484" s="52">
        <v>4</v>
      </c>
      <c r="B484" s="89">
        <v>8</v>
      </c>
      <c r="C484" s="52">
        <v>4</v>
      </c>
      <c r="D484" s="52">
        <v>0</v>
      </c>
      <c r="E484" s="52">
        <v>4840</v>
      </c>
      <c r="F484" s="97" t="s">
        <v>831</v>
      </c>
      <c r="G484" s="53" t="s">
        <v>553</v>
      </c>
      <c r="H484" s="54" t="s">
        <v>553</v>
      </c>
      <c r="I484" s="54" t="s">
        <v>553</v>
      </c>
      <c r="J484" s="54" t="s">
        <v>553</v>
      </c>
    </row>
    <row r="485" spans="1:10" ht="13.5" customHeight="1">
      <c r="A485" s="55">
        <v>4</v>
      </c>
      <c r="B485" s="91">
        <v>8</v>
      </c>
      <c r="C485" s="55">
        <v>4</v>
      </c>
      <c r="D485" s="55">
        <v>1</v>
      </c>
      <c r="E485" s="56">
        <v>4841</v>
      </c>
      <c r="F485" s="95" t="s">
        <v>832</v>
      </c>
      <c r="G485" s="57" t="s">
        <v>553</v>
      </c>
      <c r="H485" s="58" t="s">
        <v>553</v>
      </c>
      <c r="I485" s="58" t="s">
        <v>553</v>
      </c>
      <c r="J485" s="58" t="s">
        <v>553</v>
      </c>
    </row>
    <row r="486" spans="1:10" ht="13.5" customHeight="1">
      <c r="A486" s="59">
        <v>4</v>
      </c>
      <c r="B486" s="92">
        <v>8</v>
      </c>
      <c r="C486" s="59">
        <v>4</v>
      </c>
      <c r="D486" s="59">
        <v>2</v>
      </c>
      <c r="E486" s="60">
        <v>4842</v>
      </c>
      <c r="F486" s="96" t="s">
        <v>833</v>
      </c>
      <c r="G486" s="61" t="s">
        <v>553</v>
      </c>
      <c r="H486" s="62" t="s">
        <v>553</v>
      </c>
      <c r="I486" s="62" t="s">
        <v>553</v>
      </c>
      <c r="J486" s="62" t="s">
        <v>553</v>
      </c>
    </row>
    <row r="487" spans="1:10" ht="13.5" customHeight="1">
      <c r="A487" s="59">
        <v>4</v>
      </c>
      <c r="B487" s="92">
        <v>8</v>
      </c>
      <c r="C487" s="59">
        <v>4</v>
      </c>
      <c r="D487" s="59">
        <v>3</v>
      </c>
      <c r="E487" s="60">
        <v>4843</v>
      </c>
      <c r="F487" s="96" t="s">
        <v>834</v>
      </c>
      <c r="G487" s="61" t="s">
        <v>553</v>
      </c>
      <c r="H487" s="62" t="s">
        <v>553</v>
      </c>
      <c r="I487" s="62" t="s">
        <v>553</v>
      </c>
      <c r="J487" s="62" t="s">
        <v>553</v>
      </c>
    </row>
    <row r="488" spans="1:10" ht="13.5" customHeight="1">
      <c r="A488" s="59">
        <v>4</v>
      </c>
      <c r="B488" s="93">
        <v>8</v>
      </c>
      <c r="C488" s="59">
        <v>4</v>
      </c>
      <c r="D488" s="59">
        <v>4</v>
      </c>
      <c r="E488" s="60">
        <v>4844</v>
      </c>
      <c r="F488" s="96" t="s">
        <v>835</v>
      </c>
      <c r="G488" s="61" t="s">
        <v>553</v>
      </c>
      <c r="H488" s="62" t="s">
        <v>553</v>
      </c>
      <c r="I488" s="62" t="s">
        <v>553</v>
      </c>
      <c r="J488" s="62" t="s">
        <v>553</v>
      </c>
    </row>
    <row r="489" spans="1:10" ht="13.5" customHeight="1">
      <c r="A489" s="52">
        <v>4</v>
      </c>
      <c r="B489" s="89">
        <v>8</v>
      </c>
      <c r="C489" s="52">
        <v>5</v>
      </c>
      <c r="D489" s="52">
        <v>0</v>
      </c>
      <c r="E489" s="52">
        <v>4850</v>
      </c>
      <c r="F489" s="97" t="s">
        <v>836</v>
      </c>
      <c r="G489" s="53" t="s">
        <v>553</v>
      </c>
      <c r="H489" s="54" t="s">
        <v>553</v>
      </c>
      <c r="I489" s="54" t="s">
        <v>553</v>
      </c>
      <c r="J489" s="54" t="s">
        <v>553</v>
      </c>
    </row>
    <row r="490" spans="1:10" ht="13.5" customHeight="1">
      <c r="A490" s="55">
        <v>4</v>
      </c>
      <c r="B490" s="91">
        <v>8</v>
      </c>
      <c r="C490" s="55">
        <v>5</v>
      </c>
      <c r="D490" s="55">
        <v>1</v>
      </c>
      <c r="E490" s="56">
        <v>4851</v>
      </c>
      <c r="F490" s="95" t="s">
        <v>837</v>
      </c>
      <c r="G490" s="57" t="s">
        <v>553</v>
      </c>
      <c r="H490" s="58" t="s">
        <v>553</v>
      </c>
      <c r="I490" s="58" t="s">
        <v>553</v>
      </c>
      <c r="J490" s="58" t="s">
        <v>553</v>
      </c>
    </row>
    <row r="491" spans="1:10" ht="13.5" customHeight="1">
      <c r="A491" s="59">
        <v>4</v>
      </c>
      <c r="B491" s="92">
        <v>8</v>
      </c>
      <c r="C491" s="59">
        <v>5</v>
      </c>
      <c r="D491" s="59">
        <v>2</v>
      </c>
      <c r="E491" s="60">
        <v>4852</v>
      </c>
      <c r="F491" s="96" t="s">
        <v>838</v>
      </c>
      <c r="G491" s="61" t="s">
        <v>553</v>
      </c>
      <c r="H491" s="62" t="s">
        <v>553</v>
      </c>
      <c r="I491" s="62" t="s">
        <v>553</v>
      </c>
      <c r="J491" s="62" t="s">
        <v>553</v>
      </c>
    </row>
    <row r="492" spans="1:10" ht="13.5" customHeight="1">
      <c r="A492" s="59">
        <v>4</v>
      </c>
      <c r="B492" s="92">
        <v>8</v>
      </c>
      <c r="C492" s="59">
        <v>5</v>
      </c>
      <c r="D492" s="59">
        <v>3</v>
      </c>
      <c r="E492" s="60">
        <v>4853</v>
      </c>
      <c r="F492" s="96" t="s">
        <v>839</v>
      </c>
      <c r="G492" s="61" t="s">
        <v>553</v>
      </c>
      <c r="H492" s="62" t="s">
        <v>553</v>
      </c>
      <c r="I492" s="62" t="s">
        <v>553</v>
      </c>
      <c r="J492" s="62" t="s">
        <v>553</v>
      </c>
    </row>
    <row r="493" spans="1:10" ht="13.5" customHeight="1">
      <c r="A493" s="59">
        <v>4</v>
      </c>
      <c r="B493" s="92">
        <v>8</v>
      </c>
      <c r="C493" s="59">
        <v>5</v>
      </c>
      <c r="D493" s="59">
        <v>4</v>
      </c>
      <c r="E493" s="60">
        <v>4854</v>
      </c>
      <c r="F493" s="96" t="s">
        <v>840</v>
      </c>
      <c r="G493" s="61" t="s">
        <v>553</v>
      </c>
      <c r="H493" s="62" t="s">
        <v>553</v>
      </c>
      <c r="I493" s="62" t="s">
        <v>553</v>
      </c>
      <c r="J493" s="62" t="s">
        <v>553</v>
      </c>
    </row>
    <row r="494" spans="1:10" ht="13.5" customHeight="1">
      <c r="A494" s="59">
        <v>4</v>
      </c>
      <c r="B494" s="92">
        <v>8</v>
      </c>
      <c r="C494" s="59">
        <v>5</v>
      </c>
      <c r="D494" s="59">
        <v>5</v>
      </c>
      <c r="E494" s="60">
        <v>4855</v>
      </c>
      <c r="F494" s="96" t="s">
        <v>841</v>
      </c>
      <c r="G494" s="61" t="s">
        <v>553</v>
      </c>
      <c r="H494" s="62" t="s">
        <v>553</v>
      </c>
      <c r="I494" s="62" t="s">
        <v>553</v>
      </c>
      <c r="J494" s="62" t="s">
        <v>553</v>
      </c>
    </row>
    <row r="495" spans="1:10" ht="13.5" customHeight="1">
      <c r="A495" s="59">
        <v>4</v>
      </c>
      <c r="B495" s="92">
        <v>8</v>
      </c>
      <c r="C495" s="59">
        <v>5</v>
      </c>
      <c r="D495" s="59">
        <v>6</v>
      </c>
      <c r="E495" s="60">
        <v>4856</v>
      </c>
      <c r="F495" s="96" t="s">
        <v>842</v>
      </c>
      <c r="G495" s="61" t="s">
        <v>553</v>
      </c>
      <c r="H495" s="62" t="s">
        <v>553</v>
      </c>
      <c r="I495" s="62" t="s">
        <v>553</v>
      </c>
      <c r="J495" s="62" t="s">
        <v>553</v>
      </c>
    </row>
    <row r="496" spans="1:10" ht="13.5" customHeight="1">
      <c r="A496" s="59">
        <v>4</v>
      </c>
      <c r="B496" s="92">
        <v>8</v>
      </c>
      <c r="C496" s="59">
        <v>5</v>
      </c>
      <c r="D496" s="59">
        <v>7</v>
      </c>
      <c r="E496" s="60">
        <v>4857</v>
      </c>
      <c r="F496" s="96" t="s">
        <v>843</v>
      </c>
      <c r="G496" s="61" t="s">
        <v>553</v>
      </c>
      <c r="H496" s="62" t="s">
        <v>553</v>
      </c>
      <c r="I496" s="62" t="s">
        <v>553</v>
      </c>
      <c r="J496" s="62" t="s">
        <v>553</v>
      </c>
    </row>
    <row r="497" spans="1:10" ht="13.5" customHeight="1">
      <c r="A497" s="59">
        <v>4</v>
      </c>
      <c r="B497" s="93">
        <v>8</v>
      </c>
      <c r="C497" s="59">
        <v>5</v>
      </c>
      <c r="D497" s="59">
        <v>8</v>
      </c>
      <c r="E497" s="60">
        <v>4858</v>
      </c>
      <c r="F497" s="96" t="s">
        <v>844</v>
      </c>
      <c r="G497" s="61" t="s">
        <v>553</v>
      </c>
      <c r="H497" s="62" t="s">
        <v>553</v>
      </c>
      <c r="I497" s="62" t="s">
        <v>553</v>
      </c>
      <c r="J497" s="62" t="s">
        <v>553</v>
      </c>
    </row>
    <row r="498" spans="1:10" ht="13.5" customHeight="1">
      <c r="A498" s="52">
        <v>4</v>
      </c>
      <c r="B498" s="89">
        <v>8</v>
      </c>
      <c r="C498" s="52">
        <v>6</v>
      </c>
      <c r="D498" s="52">
        <v>0</v>
      </c>
      <c r="E498" s="52">
        <v>4860</v>
      </c>
      <c r="F498" s="97" t="s">
        <v>845</v>
      </c>
      <c r="G498" s="53" t="s">
        <v>553</v>
      </c>
      <c r="H498" s="54" t="s">
        <v>553</v>
      </c>
      <c r="I498" s="54" t="s">
        <v>553</v>
      </c>
      <c r="J498" s="54" t="s">
        <v>553</v>
      </c>
    </row>
    <row r="499" spans="1:10" ht="13.5" customHeight="1">
      <c r="A499" s="55">
        <v>4</v>
      </c>
      <c r="B499" s="91">
        <v>8</v>
      </c>
      <c r="C499" s="55">
        <v>6</v>
      </c>
      <c r="D499" s="55">
        <v>1</v>
      </c>
      <c r="E499" s="56">
        <v>4861</v>
      </c>
      <c r="F499" s="95" t="s">
        <v>846</v>
      </c>
      <c r="G499" s="57" t="s">
        <v>553</v>
      </c>
      <c r="H499" s="58" t="s">
        <v>553</v>
      </c>
      <c r="I499" s="58" t="s">
        <v>553</v>
      </c>
      <c r="J499" s="58" t="s">
        <v>553</v>
      </c>
    </row>
    <row r="500" spans="1:10" ht="13.5" customHeight="1">
      <c r="A500" s="59">
        <v>4</v>
      </c>
      <c r="B500" s="92">
        <v>8</v>
      </c>
      <c r="C500" s="59">
        <v>6</v>
      </c>
      <c r="D500" s="59">
        <v>2</v>
      </c>
      <c r="E500" s="60">
        <v>4862</v>
      </c>
      <c r="F500" s="96" t="s">
        <v>847</v>
      </c>
      <c r="G500" s="61" t="s">
        <v>553</v>
      </c>
      <c r="H500" s="62" t="s">
        <v>553</v>
      </c>
      <c r="I500" s="62" t="s">
        <v>553</v>
      </c>
      <c r="J500" s="62" t="s">
        <v>553</v>
      </c>
    </row>
    <row r="501" spans="1:10" ht="13.5" customHeight="1">
      <c r="A501" s="59">
        <v>4</v>
      </c>
      <c r="B501" s="92">
        <v>8</v>
      </c>
      <c r="C501" s="59">
        <v>6</v>
      </c>
      <c r="D501" s="59">
        <v>3</v>
      </c>
      <c r="E501" s="60">
        <v>4863</v>
      </c>
      <c r="F501" s="96" t="s">
        <v>848</v>
      </c>
      <c r="G501" s="61" t="s">
        <v>553</v>
      </c>
      <c r="H501" s="62" t="s">
        <v>553</v>
      </c>
      <c r="I501" s="62" t="s">
        <v>553</v>
      </c>
      <c r="J501" s="62" t="s">
        <v>553</v>
      </c>
    </row>
    <row r="502" spans="1:10" ht="13.5" customHeight="1">
      <c r="A502" s="59">
        <v>4</v>
      </c>
      <c r="B502" s="92">
        <v>8</v>
      </c>
      <c r="C502" s="59">
        <v>6</v>
      </c>
      <c r="D502" s="59">
        <v>4</v>
      </c>
      <c r="E502" s="60">
        <v>4864</v>
      </c>
      <c r="F502" s="96" t="s">
        <v>849</v>
      </c>
      <c r="G502" s="61" t="s">
        <v>553</v>
      </c>
      <c r="H502" s="62" t="s">
        <v>553</v>
      </c>
      <c r="I502" s="62" t="s">
        <v>553</v>
      </c>
      <c r="J502" s="62" t="s">
        <v>553</v>
      </c>
    </row>
    <row r="503" spans="1:10" ht="13.5" customHeight="1">
      <c r="A503" s="59">
        <v>4</v>
      </c>
      <c r="B503" s="92">
        <v>8</v>
      </c>
      <c r="C503" s="59">
        <v>6</v>
      </c>
      <c r="D503" s="59">
        <v>5</v>
      </c>
      <c r="E503" s="60">
        <v>4865</v>
      </c>
      <c r="F503" s="96" t="s">
        <v>850</v>
      </c>
      <c r="G503" s="61" t="s">
        <v>553</v>
      </c>
      <c r="H503" s="62" t="s">
        <v>553</v>
      </c>
      <c r="I503" s="62" t="s">
        <v>553</v>
      </c>
      <c r="J503" s="62" t="s">
        <v>553</v>
      </c>
    </row>
    <row r="504" spans="1:10" ht="13.5" customHeight="1">
      <c r="A504" s="59">
        <v>4</v>
      </c>
      <c r="B504" s="92">
        <v>8</v>
      </c>
      <c r="C504" s="59">
        <v>6</v>
      </c>
      <c r="D504" s="59">
        <v>6</v>
      </c>
      <c r="E504" s="60">
        <v>4866</v>
      </c>
      <c r="F504" s="96" t="s">
        <v>851</v>
      </c>
      <c r="G504" s="61" t="s">
        <v>553</v>
      </c>
      <c r="H504" s="62" t="s">
        <v>553</v>
      </c>
      <c r="I504" s="62" t="s">
        <v>553</v>
      </c>
      <c r="J504" s="62" t="s">
        <v>553</v>
      </c>
    </row>
    <row r="505" spans="1:10" ht="13.5" customHeight="1">
      <c r="A505" s="59">
        <v>4</v>
      </c>
      <c r="B505" s="92">
        <v>8</v>
      </c>
      <c r="C505" s="59">
        <v>6</v>
      </c>
      <c r="D505" s="59">
        <v>7</v>
      </c>
      <c r="E505" s="60">
        <v>4867</v>
      </c>
      <c r="F505" s="96" t="s">
        <v>852</v>
      </c>
      <c r="G505" s="61" t="s">
        <v>553</v>
      </c>
      <c r="H505" s="62" t="s">
        <v>553</v>
      </c>
      <c r="I505" s="62" t="s">
        <v>553</v>
      </c>
      <c r="J505" s="62" t="s">
        <v>553</v>
      </c>
    </row>
    <row r="506" spans="1:10" ht="13.5" customHeight="1">
      <c r="A506" s="59">
        <v>4</v>
      </c>
      <c r="B506" s="93">
        <v>8</v>
      </c>
      <c r="C506" s="59">
        <v>6</v>
      </c>
      <c r="D506" s="59">
        <v>8</v>
      </c>
      <c r="E506" s="60">
        <v>4868</v>
      </c>
      <c r="F506" s="96" t="s">
        <v>853</v>
      </c>
      <c r="G506" s="61" t="s">
        <v>553</v>
      </c>
      <c r="H506" s="62" t="s">
        <v>553</v>
      </c>
      <c r="I506" s="62" t="s">
        <v>553</v>
      </c>
      <c r="J506" s="62" t="s">
        <v>553</v>
      </c>
    </row>
    <row r="507" spans="1:10" ht="13.5" customHeight="1">
      <c r="A507" s="52">
        <v>4</v>
      </c>
      <c r="B507" s="89">
        <v>8</v>
      </c>
      <c r="C507" s="52">
        <v>7</v>
      </c>
      <c r="D507" s="52">
        <v>0</v>
      </c>
      <c r="E507" s="52">
        <v>4870</v>
      </c>
      <c r="F507" s="97" t="s">
        <v>854</v>
      </c>
      <c r="G507" s="53" t="s">
        <v>553</v>
      </c>
      <c r="H507" s="54" t="s">
        <v>553</v>
      </c>
      <c r="I507" s="54" t="s">
        <v>553</v>
      </c>
      <c r="J507" s="54" t="s">
        <v>553</v>
      </c>
    </row>
    <row r="508" spans="1:10" ht="13.5" customHeight="1">
      <c r="A508" s="55">
        <v>4</v>
      </c>
      <c r="B508" s="91">
        <v>8</v>
      </c>
      <c r="C508" s="55">
        <v>7</v>
      </c>
      <c r="D508" s="55">
        <v>1</v>
      </c>
      <c r="E508" s="56">
        <v>4871</v>
      </c>
      <c r="F508" s="95" t="s">
        <v>855</v>
      </c>
      <c r="G508" s="57" t="s">
        <v>553</v>
      </c>
      <c r="H508" s="58" t="s">
        <v>553</v>
      </c>
      <c r="I508" s="58" t="s">
        <v>553</v>
      </c>
      <c r="J508" s="58" t="s">
        <v>553</v>
      </c>
    </row>
    <row r="509" spans="1:10" ht="13.5" customHeight="1">
      <c r="A509" s="59">
        <v>4</v>
      </c>
      <c r="B509" s="93">
        <v>8</v>
      </c>
      <c r="C509" s="59">
        <v>7</v>
      </c>
      <c r="D509" s="59">
        <v>2</v>
      </c>
      <c r="E509" s="60">
        <v>4872</v>
      </c>
      <c r="F509" s="96" t="s">
        <v>856</v>
      </c>
      <c r="G509" s="61" t="s">
        <v>553</v>
      </c>
      <c r="H509" s="62" t="s">
        <v>553</v>
      </c>
      <c r="I509" s="62" t="s">
        <v>553</v>
      </c>
      <c r="J509" s="62" t="s">
        <v>553</v>
      </c>
    </row>
    <row r="510" spans="1:10" ht="13.5" customHeight="1">
      <c r="A510" s="52">
        <v>4</v>
      </c>
      <c r="B510" s="89">
        <v>8</v>
      </c>
      <c r="C510" s="52">
        <v>8</v>
      </c>
      <c r="D510" s="52">
        <v>0</v>
      </c>
      <c r="E510" s="52">
        <v>4880</v>
      </c>
      <c r="F510" s="97" t="s">
        <v>857</v>
      </c>
      <c r="G510" s="53" t="s">
        <v>553</v>
      </c>
      <c r="H510" s="54" t="s">
        <v>553</v>
      </c>
      <c r="I510" s="54" t="s">
        <v>553</v>
      </c>
      <c r="J510" s="54" t="s">
        <v>553</v>
      </c>
    </row>
    <row r="511" spans="1:10" ht="13.5" customHeight="1">
      <c r="A511" s="55">
        <v>4</v>
      </c>
      <c r="B511" s="91">
        <v>8</v>
      </c>
      <c r="C511" s="55">
        <v>8</v>
      </c>
      <c r="D511" s="55">
        <v>1</v>
      </c>
      <c r="E511" s="56">
        <v>4881</v>
      </c>
      <c r="F511" s="95" t="s">
        <v>502</v>
      </c>
      <c r="G511" s="57" t="s">
        <v>553</v>
      </c>
      <c r="H511" s="58" t="s">
        <v>553</v>
      </c>
      <c r="I511" s="58" t="s">
        <v>553</v>
      </c>
      <c r="J511" s="58" t="s">
        <v>553</v>
      </c>
    </row>
    <row r="512" spans="1:10" ht="13.5" customHeight="1">
      <c r="A512" s="59">
        <v>4</v>
      </c>
      <c r="B512" s="92">
        <v>8</v>
      </c>
      <c r="C512" s="59">
        <v>8</v>
      </c>
      <c r="D512" s="59">
        <v>2</v>
      </c>
      <c r="E512" s="60">
        <v>4882</v>
      </c>
      <c r="F512" s="96" t="s">
        <v>823</v>
      </c>
      <c r="G512" s="61" t="s">
        <v>553</v>
      </c>
      <c r="H512" s="62" t="s">
        <v>553</v>
      </c>
      <c r="I512" s="62" t="s">
        <v>553</v>
      </c>
      <c r="J512" s="62" t="s">
        <v>553</v>
      </c>
    </row>
    <row r="513" spans="1:10" ht="13.5" customHeight="1">
      <c r="A513" s="59">
        <v>4</v>
      </c>
      <c r="B513" s="92">
        <v>8</v>
      </c>
      <c r="C513" s="59">
        <v>8</v>
      </c>
      <c r="D513" s="59">
        <v>3</v>
      </c>
      <c r="E513" s="60">
        <v>4883</v>
      </c>
      <c r="F513" s="96" t="s">
        <v>824</v>
      </c>
      <c r="G513" s="61" t="s">
        <v>553</v>
      </c>
      <c r="H513" s="62" t="s">
        <v>553</v>
      </c>
      <c r="I513" s="62" t="s">
        <v>553</v>
      </c>
      <c r="J513" s="62" t="s">
        <v>553</v>
      </c>
    </row>
    <row r="514" spans="1:10" ht="13.5" customHeight="1">
      <c r="A514" s="59">
        <v>4</v>
      </c>
      <c r="B514" s="92">
        <v>8</v>
      </c>
      <c r="C514" s="59">
        <v>8</v>
      </c>
      <c r="D514" s="59">
        <v>4</v>
      </c>
      <c r="E514" s="60">
        <v>4884</v>
      </c>
      <c r="F514" s="96" t="s">
        <v>831</v>
      </c>
      <c r="G514" s="61" t="s">
        <v>553</v>
      </c>
      <c r="H514" s="62" t="s">
        <v>553</v>
      </c>
      <c r="I514" s="62" t="s">
        <v>553</v>
      </c>
      <c r="J514" s="62" t="s">
        <v>553</v>
      </c>
    </row>
    <row r="515" spans="1:10" ht="13.5" customHeight="1">
      <c r="A515" s="59">
        <v>4</v>
      </c>
      <c r="B515" s="92">
        <v>8</v>
      </c>
      <c r="C515" s="59">
        <v>8</v>
      </c>
      <c r="D515" s="59">
        <v>5</v>
      </c>
      <c r="E515" s="60">
        <v>4885</v>
      </c>
      <c r="F515" s="96" t="s">
        <v>836</v>
      </c>
      <c r="G515" s="61" t="s">
        <v>553</v>
      </c>
      <c r="H515" s="62" t="s">
        <v>553</v>
      </c>
      <c r="I515" s="62" t="s">
        <v>553</v>
      </c>
      <c r="J515" s="62" t="s">
        <v>553</v>
      </c>
    </row>
    <row r="516" spans="1:10" ht="13.5" customHeight="1">
      <c r="A516" s="59">
        <v>4</v>
      </c>
      <c r="B516" s="93">
        <v>8</v>
      </c>
      <c r="C516" s="59">
        <v>8</v>
      </c>
      <c r="D516" s="59">
        <v>6</v>
      </c>
      <c r="E516" s="60">
        <v>4886</v>
      </c>
      <c r="F516" s="96" t="s">
        <v>845</v>
      </c>
      <c r="G516" s="61" t="s">
        <v>553</v>
      </c>
      <c r="H516" s="62" t="s">
        <v>553</v>
      </c>
      <c r="I516" s="62" t="s">
        <v>553</v>
      </c>
      <c r="J516" s="62" t="s">
        <v>553</v>
      </c>
    </row>
    <row r="517" spans="1:10" ht="13.5" customHeight="1">
      <c r="A517" s="52">
        <v>4</v>
      </c>
      <c r="B517" s="89">
        <v>8</v>
      </c>
      <c r="C517" s="52">
        <v>9</v>
      </c>
      <c r="D517" s="52">
        <v>0</v>
      </c>
      <c r="E517" s="52">
        <v>4890</v>
      </c>
      <c r="F517" s="97" t="s">
        <v>541</v>
      </c>
      <c r="G517" s="53" t="s">
        <v>553</v>
      </c>
      <c r="H517" s="54" t="s">
        <v>553</v>
      </c>
      <c r="I517" s="54" t="s">
        <v>553</v>
      </c>
      <c r="J517" s="54" t="s">
        <v>553</v>
      </c>
    </row>
    <row r="518" spans="1:10" ht="13.5" customHeight="1">
      <c r="A518" s="59">
        <v>4</v>
      </c>
      <c r="B518" s="91">
        <v>8</v>
      </c>
      <c r="C518" s="59">
        <v>9</v>
      </c>
      <c r="D518" s="59">
        <v>8</v>
      </c>
      <c r="E518" s="60">
        <v>4898</v>
      </c>
      <c r="F518" s="96" t="s">
        <v>666</v>
      </c>
      <c r="G518" s="61" t="s">
        <v>553</v>
      </c>
      <c r="H518" s="62" t="s">
        <v>553</v>
      </c>
      <c r="I518" s="62" t="s">
        <v>553</v>
      </c>
      <c r="J518" s="62" t="s">
        <v>553</v>
      </c>
    </row>
    <row r="519" spans="1:10" ht="13.5" customHeight="1">
      <c r="A519" s="63">
        <v>4</v>
      </c>
      <c r="B519" s="93">
        <v>8</v>
      </c>
      <c r="C519" s="63">
        <v>9</v>
      </c>
      <c r="D519" s="63">
        <v>9</v>
      </c>
      <c r="E519" s="64">
        <v>4899</v>
      </c>
      <c r="F519" s="98" t="s">
        <v>667</v>
      </c>
      <c r="G519" s="65" t="s">
        <v>553</v>
      </c>
      <c r="H519" s="66" t="s">
        <v>553</v>
      </c>
      <c r="I519" s="66" t="s">
        <v>553</v>
      </c>
      <c r="J519" s="66" t="s">
        <v>553</v>
      </c>
    </row>
    <row r="520" spans="1:10" ht="13.5" customHeight="1">
      <c r="A520" s="46">
        <v>4</v>
      </c>
      <c r="B520" s="90">
        <v>9</v>
      </c>
      <c r="C520" s="46">
        <v>0</v>
      </c>
      <c r="D520" s="46">
        <v>0</v>
      </c>
      <c r="E520" s="46">
        <v>4900</v>
      </c>
      <c r="F520" s="99" t="s">
        <v>858</v>
      </c>
      <c r="G520" s="48" t="s">
        <v>553</v>
      </c>
      <c r="H520" s="49" t="s">
        <v>553</v>
      </c>
      <c r="I520" s="49" t="s">
        <v>553</v>
      </c>
      <c r="J520" s="49" t="s">
        <v>553</v>
      </c>
    </row>
    <row r="521" spans="1:10" ht="13.5" customHeight="1">
      <c r="A521" s="52">
        <v>4</v>
      </c>
      <c r="B521" s="89">
        <v>9</v>
      </c>
      <c r="C521" s="52">
        <v>1</v>
      </c>
      <c r="D521" s="52">
        <v>0</v>
      </c>
      <c r="E521" s="52">
        <v>4910</v>
      </c>
      <c r="F521" s="97" t="s">
        <v>859</v>
      </c>
      <c r="G521" s="53" t="s">
        <v>553</v>
      </c>
      <c r="H521" s="54" t="s">
        <v>553</v>
      </c>
      <c r="I521" s="54" t="s">
        <v>553</v>
      </c>
      <c r="J521" s="54" t="s">
        <v>553</v>
      </c>
    </row>
    <row r="522" spans="1:10" ht="13.5" customHeight="1">
      <c r="A522" s="55">
        <v>4</v>
      </c>
      <c r="B522" s="91">
        <v>9</v>
      </c>
      <c r="C522" s="55">
        <v>1</v>
      </c>
      <c r="D522" s="55">
        <v>1</v>
      </c>
      <c r="E522" s="56">
        <v>4911</v>
      </c>
      <c r="F522" s="95" t="s">
        <v>860</v>
      </c>
      <c r="G522" s="57" t="s">
        <v>553</v>
      </c>
      <c r="H522" s="58" t="s">
        <v>553</v>
      </c>
      <c r="I522" s="58" t="s">
        <v>553</v>
      </c>
      <c r="J522" s="58" t="s">
        <v>553</v>
      </c>
    </row>
    <row r="523" spans="1:10" ht="13.5" customHeight="1">
      <c r="A523" s="59">
        <v>4</v>
      </c>
      <c r="B523" s="92">
        <v>9</v>
      </c>
      <c r="C523" s="59">
        <v>1</v>
      </c>
      <c r="D523" s="59">
        <v>2</v>
      </c>
      <c r="E523" s="60">
        <v>4912</v>
      </c>
      <c r="F523" s="96" t="s">
        <v>742</v>
      </c>
      <c r="G523" s="61" t="s">
        <v>553</v>
      </c>
      <c r="H523" s="62" t="s">
        <v>553</v>
      </c>
      <c r="I523" s="62" t="s">
        <v>553</v>
      </c>
      <c r="J523" s="62" t="s">
        <v>553</v>
      </c>
    </row>
    <row r="524" spans="1:10" ht="13.5" customHeight="1">
      <c r="A524" s="59">
        <v>4</v>
      </c>
      <c r="B524" s="93">
        <v>9</v>
      </c>
      <c r="C524" s="59">
        <v>1</v>
      </c>
      <c r="D524" s="59">
        <v>3</v>
      </c>
      <c r="E524" s="60">
        <v>4913</v>
      </c>
      <c r="F524" s="96" t="s">
        <v>610</v>
      </c>
      <c r="G524" s="61" t="s">
        <v>553</v>
      </c>
      <c r="H524" s="62" t="s">
        <v>553</v>
      </c>
      <c r="I524" s="62" t="s">
        <v>553</v>
      </c>
      <c r="J524" s="62" t="s">
        <v>553</v>
      </c>
    </row>
    <row r="525" spans="1:10" ht="13.5" customHeight="1">
      <c r="A525" s="52">
        <v>4</v>
      </c>
      <c r="B525" s="89">
        <v>9</v>
      </c>
      <c r="C525" s="52">
        <v>2</v>
      </c>
      <c r="D525" s="52">
        <v>0</v>
      </c>
      <c r="E525" s="52">
        <v>4920</v>
      </c>
      <c r="F525" s="97" t="s">
        <v>861</v>
      </c>
      <c r="G525" s="53" t="s">
        <v>553</v>
      </c>
      <c r="H525" s="54" t="s">
        <v>553</v>
      </c>
      <c r="I525" s="54" t="s">
        <v>553</v>
      </c>
      <c r="J525" s="54" t="s">
        <v>553</v>
      </c>
    </row>
    <row r="526" spans="1:10" ht="13.5" customHeight="1">
      <c r="A526" s="59">
        <v>4</v>
      </c>
      <c r="B526" s="91">
        <v>9</v>
      </c>
      <c r="C526" s="59">
        <v>2</v>
      </c>
      <c r="D526" s="59">
        <v>2</v>
      </c>
      <c r="E526" s="60">
        <v>4922</v>
      </c>
      <c r="F526" s="96" t="s">
        <v>742</v>
      </c>
      <c r="G526" s="61" t="s">
        <v>553</v>
      </c>
      <c r="H526" s="62" t="s">
        <v>553</v>
      </c>
      <c r="I526" s="62" t="s">
        <v>553</v>
      </c>
      <c r="J526" s="62" t="s">
        <v>553</v>
      </c>
    </row>
    <row r="527" spans="1:10" ht="13.5" customHeight="1">
      <c r="A527" s="59">
        <v>4</v>
      </c>
      <c r="B527" s="93">
        <v>9</v>
      </c>
      <c r="C527" s="59">
        <v>2</v>
      </c>
      <c r="D527" s="59">
        <v>3</v>
      </c>
      <c r="E527" s="60">
        <v>4923</v>
      </c>
      <c r="F527" s="96" t="s">
        <v>610</v>
      </c>
      <c r="G527" s="61" t="s">
        <v>553</v>
      </c>
      <c r="H527" s="62" t="s">
        <v>553</v>
      </c>
      <c r="I527" s="62" t="s">
        <v>553</v>
      </c>
      <c r="J527" s="62" t="s">
        <v>553</v>
      </c>
    </row>
    <row r="528" spans="1:10" ht="13.5" customHeight="1">
      <c r="A528" s="52">
        <v>4</v>
      </c>
      <c r="B528" s="89">
        <v>9</v>
      </c>
      <c r="C528" s="52">
        <v>3</v>
      </c>
      <c r="D528" s="52">
        <v>0</v>
      </c>
      <c r="E528" s="52">
        <v>4930</v>
      </c>
      <c r="F528" s="97" t="s">
        <v>862</v>
      </c>
      <c r="G528" s="53" t="s">
        <v>553</v>
      </c>
      <c r="H528" s="54" t="s">
        <v>553</v>
      </c>
      <c r="I528" s="54" t="s">
        <v>553</v>
      </c>
      <c r="J528" s="54" t="s">
        <v>553</v>
      </c>
    </row>
    <row r="529" spans="1:10" ht="13.5" customHeight="1">
      <c r="A529" s="55">
        <v>4</v>
      </c>
      <c r="B529" s="91">
        <v>9</v>
      </c>
      <c r="C529" s="55">
        <v>3</v>
      </c>
      <c r="D529" s="55">
        <v>1</v>
      </c>
      <c r="E529" s="56">
        <v>4931</v>
      </c>
      <c r="F529" s="95" t="s">
        <v>860</v>
      </c>
      <c r="G529" s="57" t="s">
        <v>553</v>
      </c>
      <c r="H529" s="58" t="s">
        <v>553</v>
      </c>
      <c r="I529" s="58" t="s">
        <v>553</v>
      </c>
      <c r="J529" s="58" t="s">
        <v>553</v>
      </c>
    </row>
    <row r="530" spans="1:10" ht="13.5" customHeight="1">
      <c r="A530" s="59">
        <v>4</v>
      </c>
      <c r="B530" s="92">
        <v>9</v>
      </c>
      <c r="C530" s="59">
        <v>3</v>
      </c>
      <c r="D530" s="59">
        <v>2</v>
      </c>
      <c r="E530" s="60">
        <v>4932</v>
      </c>
      <c r="F530" s="96" t="s">
        <v>742</v>
      </c>
      <c r="G530" s="61" t="s">
        <v>553</v>
      </c>
      <c r="H530" s="62" t="s">
        <v>553</v>
      </c>
      <c r="I530" s="62" t="s">
        <v>553</v>
      </c>
      <c r="J530" s="62" t="s">
        <v>553</v>
      </c>
    </row>
    <row r="531" spans="1:10" ht="13.5" customHeight="1">
      <c r="A531" s="59">
        <v>4</v>
      </c>
      <c r="B531" s="93">
        <v>9</v>
      </c>
      <c r="C531" s="59">
        <v>3</v>
      </c>
      <c r="D531" s="59">
        <v>3</v>
      </c>
      <c r="E531" s="60">
        <v>4933</v>
      </c>
      <c r="F531" s="96" t="s">
        <v>610</v>
      </c>
      <c r="G531" s="61" t="s">
        <v>553</v>
      </c>
      <c r="H531" s="62" t="s">
        <v>553</v>
      </c>
      <c r="I531" s="62" t="s">
        <v>553</v>
      </c>
      <c r="J531" s="62" t="s">
        <v>553</v>
      </c>
    </row>
    <row r="532" spans="1:10" ht="13.5" customHeight="1">
      <c r="A532" s="52">
        <v>4</v>
      </c>
      <c r="B532" s="89">
        <v>9</v>
      </c>
      <c r="C532" s="52">
        <v>4</v>
      </c>
      <c r="D532" s="52">
        <v>0</v>
      </c>
      <c r="E532" s="52">
        <v>4940</v>
      </c>
      <c r="F532" s="97" t="s">
        <v>863</v>
      </c>
      <c r="G532" s="53" t="s">
        <v>553</v>
      </c>
      <c r="H532" s="54" t="s">
        <v>553</v>
      </c>
      <c r="I532" s="54" t="s">
        <v>553</v>
      </c>
      <c r="J532" s="54" t="s">
        <v>553</v>
      </c>
    </row>
    <row r="533" spans="1:10" ht="13.5" customHeight="1">
      <c r="A533" s="55">
        <v>4</v>
      </c>
      <c r="B533" s="91">
        <v>9</v>
      </c>
      <c r="C533" s="55">
        <v>4</v>
      </c>
      <c r="D533" s="55">
        <v>1</v>
      </c>
      <c r="E533" s="56">
        <v>4941</v>
      </c>
      <c r="F533" s="95" t="s">
        <v>860</v>
      </c>
      <c r="G533" s="57" t="s">
        <v>553</v>
      </c>
      <c r="H533" s="58" t="s">
        <v>553</v>
      </c>
      <c r="I533" s="58" t="s">
        <v>553</v>
      </c>
      <c r="J533" s="58" t="s">
        <v>553</v>
      </c>
    </row>
    <row r="534" spans="1:10" ht="13.5" customHeight="1">
      <c r="A534" s="59">
        <v>4</v>
      </c>
      <c r="B534" s="92">
        <v>9</v>
      </c>
      <c r="C534" s="59">
        <v>4</v>
      </c>
      <c r="D534" s="59">
        <v>2</v>
      </c>
      <c r="E534" s="60">
        <v>4942</v>
      </c>
      <c r="F534" s="96" t="s">
        <v>742</v>
      </c>
      <c r="G534" s="61" t="s">
        <v>553</v>
      </c>
      <c r="H534" s="62" t="s">
        <v>553</v>
      </c>
      <c r="I534" s="62" t="s">
        <v>553</v>
      </c>
      <c r="J534" s="62" t="s">
        <v>553</v>
      </c>
    </row>
    <row r="535" spans="1:10" ht="13.5" customHeight="1">
      <c r="A535" s="59">
        <v>4</v>
      </c>
      <c r="B535" s="93">
        <v>9</v>
      </c>
      <c r="C535" s="59">
        <v>4</v>
      </c>
      <c r="D535" s="59">
        <v>3</v>
      </c>
      <c r="E535" s="60">
        <v>4943</v>
      </c>
      <c r="F535" s="96" t="s">
        <v>610</v>
      </c>
      <c r="G535" s="61" t="s">
        <v>553</v>
      </c>
      <c r="H535" s="62" t="s">
        <v>553</v>
      </c>
      <c r="I535" s="62" t="s">
        <v>553</v>
      </c>
      <c r="J535" s="62" t="s">
        <v>553</v>
      </c>
    </row>
    <row r="536" spans="1:10" ht="13.5" customHeight="1">
      <c r="A536" s="52">
        <v>4</v>
      </c>
      <c r="B536" s="89">
        <v>9</v>
      </c>
      <c r="C536" s="52">
        <v>5</v>
      </c>
      <c r="D536" s="52">
        <v>0</v>
      </c>
      <c r="E536" s="52">
        <v>4950</v>
      </c>
      <c r="F536" s="97" t="s">
        <v>864</v>
      </c>
      <c r="G536" s="53" t="s">
        <v>553</v>
      </c>
      <c r="H536" s="54" t="s">
        <v>553</v>
      </c>
      <c r="I536" s="54" t="s">
        <v>553</v>
      </c>
      <c r="J536" s="54" t="s">
        <v>553</v>
      </c>
    </row>
    <row r="537" spans="1:10" ht="13.5" customHeight="1">
      <c r="A537" s="55">
        <v>4</v>
      </c>
      <c r="B537" s="91">
        <v>9</v>
      </c>
      <c r="C537" s="55">
        <v>5</v>
      </c>
      <c r="D537" s="55">
        <v>1</v>
      </c>
      <c r="E537" s="56">
        <v>4951</v>
      </c>
      <c r="F537" s="95" t="s">
        <v>865</v>
      </c>
      <c r="G537" s="57" t="s">
        <v>553</v>
      </c>
      <c r="H537" s="58" t="s">
        <v>553</v>
      </c>
      <c r="I537" s="58" t="s">
        <v>553</v>
      </c>
      <c r="J537" s="58" t="s">
        <v>553</v>
      </c>
    </row>
    <row r="538" spans="1:10" ht="13.5" customHeight="1">
      <c r="A538" s="59">
        <v>4</v>
      </c>
      <c r="B538" s="92">
        <v>9</v>
      </c>
      <c r="C538" s="59">
        <v>5</v>
      </c>
      <c r="D538" s="59">
        <v>2</v>
      </c>
      <c r="E538" s="60">
        <v>4952</v>
      </c>
      <c r="F538" s="96" t="s">
        <v>860</v>
      </c>
      <c r="G538" s="61" t="s">
        <v>553</v>
      </c>
      <c r="H538" s="62" t="s">
        <v>553</v>
      </c>
      <c r="I538" s="62" t="s">
        <v>553</v>
      </c>
      <c r="J538" s="62" t="s">
        <v>553</v>
      </c>
    </row>
    <row r="539" spans="1:10" ht="13.5" customHeight="1">
      <c r="A539" s="59">
        <v>4</v>
      </c>
      <c r="B539" s="92">
        <v>9</v>
      </c>
      <c r="C539" s="59">
        <v>5</v>
      </c>
      <c r="D539" s="59">
        <v>3</v>
      </c>
      <c r="E539" s="60">
        <v>4953</v>
      </c>
      <c r="F539" s="96" t="s">
        <v>742</v>
      </c>
      <c r="G539" s="61" t="s">
        <v>553</v>
      </c>
      <c r="H539" s="62" t="s">
        <v>553</v>
      </c>
      <c r="I539" s="62" t="s">
        <v>553</v>
      </c>
      <c r="J539" s="62" t="s">
        <v>553</v>
      </c>
    </row>
    <row r="540" spans="1:10" ht="13.5" customHeight="1">
      <c r="A540" s="59">
        <v>4</v>
      </c>
      <c r="B540" s="93">
        <v>9</v>
      </c>
      <c r="C540" s="59">
        <v>5</v>
      </c>
      <c r="D540" s="59">
        <v>4</v>
      </c>
      <c r="E540" s="60">
        <v>4954</v>
      </c>
      <c r="F540" s="96" t="s">
        <v>610</v>
      </c>
      <c r="G540" s="61" t="s">
        <v>553</v>
      </c>
      <c r="H540" s="62" t="s">
        <v>553</v>
      </c>
      <c r="I540" s="62" t="s">
        <v>553</v>
      </c>
      <c r="J540" s="62" t="s">
        <v>553</v>
      </c>
    </row>
    <row r="541" spans="1:10" ht="13.5" customHeight="1">
      <c r="A541" s="52">
        <v>4</v>
      </c>
      <c r="B541" s="89">
        <v>9</v>
      </c>
      <c r="C541" s="52">
        <v>6</v>
      </c>
      <c r="D541" s="52">
        <v>0</v>
      </c>
      <c r="E541" s="52">
        <v>4960</v>
      </c>
      <c r="F541" s="97" t="s">
        <v>866</v>
      </c>
      <c r="G541" s="53" t="s">
        <v>553</v>
      </c>
      <c r="H541" s="54" t="s">
        <v>553</v>
      </c>
      <c r="I541" s="54" t="s">
        <v>553</v>
      </c>
      <c r="J541" s="54" t="s">
        <v>553</v>
      </c>
    </row>
    <row r="542" spans="1:10" ht="13.5" customHeight="1">
      <c r="A542" s="55">
        <v>4</v>
      </c>
      <c r="B542" s="91">
        <v>9</v>
      </c>
      <c r="C542" s="55">
        <v>6</v>
      </c>
      <c r="D542" s="55">
        <v>1</v>
      </c>
      <c r="E542" s="56">
        <v>4961</v>
      </c>
      <c r="F542" s="95" t="s">
        <v>867</v>
      </c>
      <c r="G542" s="57" t="s">
        <v>553</v>
      </c>
      <c r="H542" s="58" t="s">
        <v>553</v>
      </c>
      <c r="I542" s="58" t="s">
        <v>553</v>
      </c>
      <c r="J542" s="58" t="s">
        <v>553</v>
      </c>
    </row>
    <row r="543" spans="1:10" ht="13.5" customHeight="1">
      <c r="A543" s="59">
        <v>4</v>
      </c>
      <c r="B543" s="92">
        <v>9</v>
      </c>
      <c r="C543" s="59">
        <v>6</v>
      </c>
      <c r="D543" s="59">
        <v>2</v>
      </c>
      <c r="E543" s="60">
        <v>4962</v>
      </c>
      <c r="F543" s="96" t="s">
        <v>868</v>
      </c>
      <c r="G543" s="61" t="s">
        <v>553</v>
      </c>
      <c r="H543" s="62" t="s">
        <v>553</v>
      </c>
      <c r="I543" s="62" t="s">
        <v>553</v>
      </c>
      <c r="J543" s="62" t="s">
        <v>553</v>
      </c>
    </row>
    <row r="544" spans="1:10" ht="13.5" customHeight="1">
      <c r="A544" s="59">
        <v>4</v>
      </c>
      <c r="B544" s="92">
        <v>9</v>
      </c>
      <c r="C544" s="59">
        <v>6</v>
      </c>
      <c r="D544" s="59">
        <v>3</v>
      </c>
      <c r="E544" s="60">
        <v>4963</v>
      </c>
      <c r="F544" s="96" t="s">
        <v>869</v>
      </c>
      <c r="G544" s="61" t="s">
        <v>553</v>
      </c>
      <c r="H544" s="62" t="s">
        <v>553</v>
      </c>
      <c r="I544" s="62" t="s">
        <v>553</v>
      </c>
      <c r="J544" s="62" t="s">
        <v>553</v>
      </c>
    </row>
    <row r="545" spans="1:10" ht="13.5" customHeight="1">
      <c r="A545" s="59">
        <v>4</v>
      </c>
      <c r="B545" s="92">
        <v>9</v>
      </c>
      <c r="C545" s="59">
        <v>6</v>
      </c>
      <c r="D545" s="59">
        <v>4</v>
      </c>
      <c r="E545" s="60">
        <v>4964</v>
      </c>
      <c r="F545" s="96" t="s">
        <v>870</v>
      </c>
      <c r="G545" s="61" t="s">
        <v>553</v>
      </c>
      <c r="H545" s="62" t="s">
        <v>553</v>
      </c>
      <c r="I545" s="62" t="s">
        <v>553</v>
      </c>
      <c r="J545" s="62" t="s">
        <v>553</v>
      </c>
    </row>
    <row r="546" spans="1:10" ht="13.5" customHeight="1">
      <c r="A546" s="59">
        <v>4</v>
      </c>
      <c r="B546" s="93">
        <v>9</v>
      </c>
      <c r="C546" s="59">
        <v>6</v>
      </c>
      <c r="D546" s="59">
        <v>5</v>
      </c>
      <c r="E546" s="60">
        <v>4965</v>
      </c>
      <c r="F546" s="96" t="s">
        <v>871</v>
      </c>
      <c r="G546" s="61" t="s">
        <v>553</v>
      </c>
      <c r="H546" s="62" t="s">
        <v>553</v>
      </c>
      <c r="I546" s="62" t="s">
        <v>553</v>
      </c>
      <c r="J546" s="62" t="s">
        <v>553</v>
      </c>
    </row>
    <row r="547" spans="1:10" ht="13.5" customHeight="1">
      <c r="A547" s="52">
        <v>4</v>
      </c>
      <c r="B547" s="89">
        <v>9</v>
      </c>
      <c r="C547" s="52">
        <v>7</v>
      </c>
      <c r="D547" s="52">
        <v>0</v>
      </c>
      <c r="E547" s="52">
        <v>4970</v>
      </c>
      <c r="F547" s="97" t="s">
        <v>872</v>
      </c>
      <c r="G547" s="53" t="s">
        <v>553</v>
      </c>
      <c r="H547" s="54" t="s">
        <v>553</v>
      </c>
      <c r="I547" s="54" t="s">
        <v>553</v>
      </c>
      <c r="J547" s="54" t="s">
        <v>553</v>
      </c>
    </row>
    <row r="548" spans="1:10" ht="13.5" customHeight="1">
      <c r="A548" s="55">
        <v>4</v>
      </c>
      <c r="B548" s="91">
        <v>9</v>
      </c>
      <c r="C548" s="55">
        <v>7</v>
      </c>
      <c r="D548" s="55">
        <v>1</v>
      </c>
      <c r="E548" s="56">
        <v>4971</v>
      </c>
      <c r="F548" s="95" t="s">
        <v>867</v>
      </c>
      <c r="G548" s="57" t="s">
        <v>553</v>
      </c>
      <c r="H548" s="58" t="s">
        <v>553</v>
      </c>
      <c r="I548" s="58" t="s">
        <v>553</v>
      </c>
      <c r="J548" s="58" t="s">
        <v>553</v>
      </c>
    </row>
    <row r="549" spans="1:10" ht="13.5" customHeight="1">
      <c r="A549" s="59">
        <v>4</v>
      </c>
      <c r="B549" s="92">
        <v>9</v>
      </c>
      <c r="C549" s="59">
        <v>7</v>
      </c>
      <c r="D549" s="59">
        <v>2</v>
      </c>
      <c r="E549" s="60">
        <v>4972</v>
      </c>
      <c r="F549" s="96" t="s">
        <v>868</v>
      </c>
      <c r="G549" s="61" t="s">
        <v>553</v>
      </c>
      <c r="H549" s="62" t="s">
        <v>553</v>
      </c>
      <c r="I549" s="62" t="s">
        <v>553</v>
      </c>
      <c r="J549" s="62" t="s">
        <v>553</v>
      </c>
    </row>
    <row r="550" spans="1:10" ht="13.5" customHeight="1">
      <c r="A550" s="59">
        <v>4</v>
      </c>
      <c r="B550" s="92">
        <v>9</v>
      </c>
      <c r="C550" s="59">
        <v>7</v>
      </c>
      <c r="D550" s="59">
        <v>3</v>
      </c>
      <c r="E550" s="60">
        <v>4973</v>
      </c>
      <c r="F550" s="96" t="s">
        <v>869</v>
      </c>
      <c r="G550" s="61" t="s">
        <v>553</v>
      </c>
      <c r="H550" s="62" t="s">
        <v>553</v>
      </c>
      <c r="I550" s="62" t="s">
        <v>553</v>
      </c>
      <c r="J550" s="62" t="s">
        <v>553</v>
      </c>
    </row>
    <row r="551" spans="1:10" ht="13.5" customHeight="1">
      <c r="A551" s="59">
        <v>4</v>
      </c>
      <c r="B551" s="92">
        <v>9</v>
      </c>
      <c r="C551" s="59">
        <v>7</v>
      </c>
      <c r="D551" s="59">
        <v>4</v>
      </c>
      <c r="E551" s="60">
        <v>4974</v>
      </c>
      <c r="F551" s="96" t="s">
        <v>870</v>
      </c>
      <c r="G551" s="61" t="s">
        <v>553</v>
      </c>
      <c r="H551" s="62" t="s">
        <v>553</v>
      </c>
      <c r="I551" s="62" t="s">
        <v>553</v>
      </c>
      <c r="J551" s="62" t="s">
        <v>553</v>
      </c>
    </row>
    <row r="552" spans="1:10" ht="13.5" customHeight="1">
      <c r="A552" s="59">
        <v>4</v>
      </c>
      <c r="B552" s="93">
        <v>9</v>
      </c>
      <c r="C552" s="59">
        <v>7</v>
      </c>
      <c r="D552" s="59">
        <v>5</v>
      </c>
      <c r="E552" s="60">
        <v>4975</v>
      </c>
      <c r="F552" s="96" t="s">
        <v>871</v>
      </c>
      <c r="G552" s="61" t="s">
        <v>553</v>
      </c>
      <c r="H552" s="62" t="s">
        <v>553</v>
      </c>
      <c r="I552" s="62" t="s">
        <v>553</v>
      </c>
      <c r="J552" s="62" t="s">
        <v>553</v>
      </c>
    </row>
    <row r="553" spans="1:10" ht="13.5" customHeight="1">
      <c r="A553" s="52">
        <v>4</v>
      </c>
      <c r="B553" s="89">
        <v>9</v>
      </c>
      <c r="C553" s="52">
        <v>8</v>
      </c>
      <c r="D553" s="52">
        <v>0</v>
      </c>
      <c r="E553" s="52">
        <v>4980</v>
      </c>
      <c r="F553" s="97" t="s">
        <v>873</v>
      </c>
      <c r="G553" s="53" t="s">
        <v>553</v>
      </c>
      <c r="H553" s="54" t="s">
        <v>553</v>
      </c>
      <c r="I553" s="54" t="s">
        <v>553</v>
      </c>
      <c r="J553" s="54" t="s">
        <v>553</v>
      </c>
    </row>
    <row r="554" spans="1:10" ht="13.5" customHeight="1">
      <c r="A554" s="55">
        <v>4</v>
      </c>
      <c r="B554" s="91">
        <v>9</v>
      </c>
      <c r="C554" s="55">
        <v>8</v>
      </c>
      <c r="D554" s="55">
        <v>1</v>
      </c>
      <c r="E554" s="56">
        <v>4981</v>
      </c>
      <c r="F554" s="95" t="s">
        <v>874</v>
      </c>
      <c r="G554" s="57" t="s">
        <v>553</v>
      </c>
      <c r="H554" s="58" t="s">
        <v>553</v>
      </c>
      <c r="I554" s="58" t="s">
        <v>553</v>
      </c>
      <c r="J554" s="58" t="s">
        <v>553</v>
      </c>
    </row>
    <row r="555" spans="1:10" ht="13.5" customHeight="1">
      <c r="A555" s="59">
        <v>4</v>
      </c>
      <c r="B555" s="92">
        <v>9</v>
      </c>
      <c r="C555" s="59">
        <v>8</v>
      </c>
      <c r="D555" s="59">
        <v>2</v>
      </c>
      <c r="E555" s="60">
        <v>4982</v>
      </c>
      <c r="F555" s="96" t="s">
        <v>875</v>
      </c>
      <c r="G555" s="61" t="s">
        <v>553</v>
      </c>
      <c r="H555" s="62" t="s">
        <v>553</v>
      </c>
      <c r="I555" s="62" t="s">
        <v>553</v>
      </c>
      <c r="J555" s="62" t="s">
        <v>553</v>
      </c>
    </row>
    <row r="556" spans="1:10" ht="13.5" customHeight="1">
      <c r="A556" s="59">
        <v>4</v>
      </c>
      <c r="B556" s="92">
        <v>9</v>
      </c>
      <c r="C556" s="59">
        <v>8</v>
      </c>
      <c r="D556" s="59">
        <v>3</v>
      </c>
      <c r="E556" s="60">
        <v>4983</v>
      </c>
      <c r="F556" s="96" t="s">
        <v>876</v>
      </c>
      <c r="G556" s="61" t="s">
        <v>553</v>
      </c>
      <c r="H556" s="62" t="s">
        <v>553</v>
      </c>
      <c r="I556" s="62" t="s">
        <v>553</v>
      </c>
      <c r="J556" s="62" t="s">
        <v>553</v>
      </c>
    </row>
    <row r="557" spans="1:10" ht="13.5" customHeight="1">
      <c r="A557" s="59">
        <v>4</v>
      </c>
      <c r="B557" s="92">
        <v>9</v>
      </c>
      <c r="C557" s="59">
        <v>8</v>
      </c>
      <c r="D557" s="59">
        <v>4</v>
      </c>
      <c r="E557" s="60">
        <v>4984</v>
      </c>
      <c r="F557" s="96" t="s">
        <v>877</v>
      </c>
      <c r="G557" s="61" t="s">
        <v>553</v>
      </c>
      <c r="H557" s="62" t="s">
        <v>553</v>
      </c>
      <c r="I557" s="62" t="s">
        <v>553</v>
      </c>
      <c r="J557" s="62" t="s">
        <v>553</v>
      </c>
    </row>
    <row r="558" spans="1:10" ht="13.5" customHeight="1">
      <c r="A558" s="59">
        <v>4</v>
      </c>
      <c r="B558" s="93">
        <v>9</v>
      </c>
      <c r="C558" s="59">
        <v>8</v>
      </c>
      <c r="D558" s="59">
        <v>5</v>
      </c>
      <c r="E558" s="60">
        <v>4985</v>
      </c>
      <c r="F558" s="96" t="s">
        <v>878</v>
      </c>
      <c r="G558" s="61" t="s">
        <v>553</v>
      </c>
      <c r="H558" s="62" t="s">
        <v>553</v>
      </c>
      <c r="I558" s="62" t="s">
        <v>553</v>
      </c>
      <c r="J558" s="62" t="s">
        <v>553</v>
      </c>
    </row>
    <row r="559" spans="1:10" ht="13.5" customHeight="1">
      <c r="A559" s="52">
        <v>4</v>
      </c>
      <c r="B559" s="89">
        <v>9</v>
      </c>
      <c r="C559" s="52">
        <v>9</v>
      </c>
      <c r="D559" s="52">
        <v>0</v>
      </c>
      <c r="E559" s="52">
        <v>4990</v>
      </c>
      <c r="F559" s="97" t="s">
        <v>879</v>
      </c>
      <c r="G559" s="75" t="s">
        <v>712</v>
      </c>
      <c r="H559" s="76" t="s">
        <v>712</v>
      </c>
      <c r="I559" s="76" t="s">
        <v>712</v>
      </c>
      <c r="J559" s="76" t="s">
        <v>712</v>
      </c>
    </row>
    <row r="560" spans="1:10" ht="13.5" customHeight="1">
      <c r="A560" s="42">
        <v>5</v>
      </c>
      <c r="B560" s="88">
        <v>0</v>
      </c>
      <c r="C560" s="42">
        <v>0</v>
      </c>
      <c r="D560" s="42">
        <v>0</v>
      </c>
      <c r="E560" s="42">
        <v>5000</v>
      </c>
      <c r="F560" s="100" t="s">
        <v>880</v>
      </c>
      <c r="G560" s="44" t="s">
        <v>881</v>
      </c>
      <c r="H560" s="45" t="s">
        <v>882</v>
      </c>
      <c r="I560" s="45" t="s">
        <v>883</v>
      </c>
      <c r="J560" s="45" t="s">
        <v>884</v>
      </c>
    </row>
    <row r="561" spans="1:10" ht="13.5" customHeight="1">
      <c r="A561" s="46">
        <v>5</v>
      </c>
      <c r="B561" s="90">
        <v>1</v>
      </c>
      <c r="C561" s="46">
        <v>0</v>
      </c>
      <c r="D561" s="46">
        <v>0</v>
      </c>
      <c r="E561" s="46">
        <v>5100</v>
      </c>
      <c r="F561" s="99" t="s">
        <v>885</v>
      </c>
      <c r="G561" s="48" t="s">
        <v>886</v>
      </c>
      <c r="H561" s="49" t="s">
        <v>882</v>
      </c>
      <c r="I561" s="49" t="s">
        <v>883</v>
      </c>
      <c r="J561" s="49" t="s">
        <v>887</v>
      </c>
    </row>
    <row r="562" spans="1:10" ht="13.5" customHeight="1">
      <c r="A562" s="52">
        <v>5</v>
      </c>
      <c r="B562" s="89">
        <v>1</v>
      </c>
      <c r="C562" s="52">
        <v>1</v>
      </c>
      <c r="D562" s="52">
        <v>0</v>
      </c>
      <c r="E562" s="52">
        <v>5110</v>
      </c>
      <c r="F562" s="97" t="s">
        <v>888</v>
      </c>
      <c r="G562" s="53" t="s">
        <v>889</v>
      </c>
      <c r="H562" s="54" t="s">
        <v>882</v>
      </c>
      <c r="I562" s="54" t="s">
        <v>882</v>
      </c>
      <c r="J562" s="54" t="s">
        <v>890</v>
      </c>
    </row>
    <row r="563" spans="1:10" ht="13.5" customHeight="1">
      <c r="A563" s="55">
        <v>5</v>
      </c>
      <c r="B563" s="91">
        <v>1</v>
      </c>
      <c r="C563" s="55">
        <v>1</v>
      </c>
      <c r="D563" s="55">
        <v>1</v>
      </c>
      <c r="E563" s="56">
        <v>5111</v>
      </c>
      <c r="F563" s="95" t="s">
        <v>891</v>
      </c>
      <c r="G563" s="57" t="s">
        <v>889</v>
      </c>
      <c r="H563" s="58" t="s">
        <v>882</v>
      </c>
      <c r="I563" s="58" t="s">
        <v>882</v>
      </c>
      <c r="J563" s="58" t="s">
        <v>535</v>
      </c>
    </row>
    <row r="564" spans="1:10" ht="13.5" customHeight="1">
      <c r="A564" s="59">
        <v>5</v>
      </c>
      <c r="B564" s="92">
        <v>1</v>
      </c>
      <c r="C564" s="59">
        <v>1</v>
      </c>
      <c r="D564" s="59">
        <v>2</v>
      </c>
      <c r="E564" s="60">
        <v>5112</v>
      </c>
      <c r="F564" s="96" t="s">
        <v>892</v>
      </c>
      <c r="G564" s="61" t="s">
        <v>889</v>
      </c>
      <c r="H564" s="62" t="s">
        <v>882</v>
      </c>
      <c r="I564" s="62" t="s">
        <v>882</v>
      </c>
      <c r="J564" s="62" t="s">
        <v>882</v>
      </c>
    </row>
    <row r="565" spans="1:10" ht="13.5" customHeight="1">
      <c r="A565" s="59">
        <v>5</v>
      </c>
      <c r="B565" s="92">
        <v>1</v>
      </c>
      <c r="C565" s="59">
        <v>1</v>
      </c>
      <c r="D565" s="59">
        <v>3</v>
      </c>
      <c r="E565" s="60">
        <v>5113</v>
      </c>
      <c r="F565" s="96" t="s">
        <v>893</v>
      </c>
      <c r="G565" s="61" t="s">
        <v>889</v>
      </c>
      <c r="H565" s="62" t="s">
        <v>882</v>
      </c>
      <c r="I565" s="62" t="s">
        <v>882</v>
      </c>
      <c r="J565" s="62" t="s">
        <v>882</v>
      </c>
    </row>
    <row r="566" spans="1:10" ht="13.5" customHeight="1">
      <c r="A566" s="59">
        <v>5</v>
      </c>
      <c r="B566" s="93">
        <v>1</v>
      </c>
      <c r="C566" s="59">
        <v>1</v>
      </c>
      <c r="D566" s="59">
        <v>5</v>
      </c>
      <c r="E566" s="60">
        <v>5115</v>
      </c>
      <c r="F566" s="96" t="s">
        <v>894</v>
      </c>
      <c r="G566" s="61" t="s">
        <v>889</v>
      </c>
      <c r="H566" s="62" t="s">
        <v>882</v>
      </c>
      <c r="I566" s="62" t="s">
        <v>882</v>
      </c>
      <c r="J566" s="62" t="s">
        <v>882</v>
      </c>
    </row>
    <row r="567" spans="1:10" ht="13.5" customHeight="1">
      <c r="A567" s="52">
        <v>5</v>
      </c>
      <c r="B567" s="89">
        <v>1</v>
      </c>
      <c r="C567" s="52">
        <v>2</v>
      </c>
      <c r="D567" s="52">
        <v>0</v>
      </c>
      <c r="E567" s="52">
        <v>5120</v>
      </c>
      <c r="F567" s="97" t="s">
        <v>895</v>
      </c>
      <c r="G567" s="53" t="s">
        <v>889</v>
      </c>
      <c r="H567" s="54" t="s">
        <v>882</v>
      </c>
      <c r="I567" s="54" t="s">
        <v>882</v>
      </c>
      <c r="J567" s="54" t="s">
        <v>882</v>
      </c>
    </row>
    <row r="568" spans="1:10" ht="13.5" customHeight="1">
      <c r="A568" s="55">
        <v>5</v>
      </c>
      <c r="B568" s="91">
        <v>1</v>
      </c>
      <c r="C568" s="55">
        <v>2</v>
      </c>
      <c r="D568" s="55">
        <v>1</v>
      </c>
      <c r="E568" s="56">
        <v>5121</v>
      </c>
      <c r="F568" s="95" t="s">
        <v>891</v>
      </c>
      <c r="G568" s="57" t="s">
        <v>889</v>
      </c>
      <c r="H568" s="58" t="s">
        <v>882</v>
      </c>
      <c r="I568" s="58" t="s">
        <v>882</v>
      </c>
      <c r="J568" s="58" t="s">
        <v>882</v>
      </c>
    </row>
    <row r="569" spans="1:10" ht="13.5" customHeight="1">
      <c r="A569" s="59">
        <v>5</v>
      </c>
      <c r="B569" s="92">
        <v>1</v>
      </c>
      <c r="C569" s="59">
        <v>2</v>
      </c>
      <c r="D569" s="59">
        <v>2</v>
      </c>
      <c r="E569" s="60">
        <v>5122</v>
      </c>
      <c r="F569" s="96" t="s">
        <v>892</v>
      </c>
      <c r="G569" s="61" t="s">
        <v>889</v>
      </c>
      <c r="H569" s="62" t="s">
        <v>882</v>
      </c>
      <c r="I569" s="62" t="s">
        <v>882</v>
      </c>
      <c r="J569" s="62" t="s">
        <v>882</v>
      </c>
    </row>
    <row r="570" spans="1:10" ht="13.5" customHeight="1">
      <c r="A570" s="59">
        <v>5</v>
      </c>
      <c r="B570" s="92">
        <v>1</v>
      </c>
      <c r="C570" s="59">
        <v>2</v>
      </c>
      <c r="D570" s="59">
        <v>3</v>
      </c>
      <c r="E570" s="60">
        <v>5123</v>
      </c>
      <c r="F570" s="96" t="s">
        <v>893</v>
      </c>
      <c r="G570" s="61" t="s">
        <v>889</v>
      </c>
      <c r="H570" s="62" t="s">
        <v>882</v>
      </c>
      <c r="I570" s="62" t="s">
        <v>882</v>
      </c>
      <c r="J570" s="62" t="s">
        <v>882</v>
      </c>
    </row>
    <row r="571" spans="1:10" ht="13.5" customHeight="1">
      <c r="A571" s="59">
        <v>5</v>
      </c>
      <c r="B571" s="93">
        <v>1</v>
      </c>
      <c r="C571" s="59">
        <v>2</v>
      </c>
      <c r="D571" s="59">
        <v>5</v>
      </c>
      <c r="E571" s="60">
        <v>5125</v>
      </c>
      <c r="F571" s="96" t="s">
        <v>894</v>
      </c>
      <c r="G571" s="61" t="s">
        <v>889</v>
      </c>
      <c r="H571" s="62" t="s">
        <v>882</v>
      </c>
      <c r="I571" s="62" t="s">
        <v>882</v>
      </c>
      <c r="J571" s="62" t="s">
        <v>882</v>
      </c>
    </row>
    <row r="572" spans="1:10" ht="13.5" customHeight="1">
      <c r="A572" s="52">
        <v>5</v>
      </c>
      <c r="B572" s="89">
        <v>1</v>
      </c>
      <c r="C572" s="52">
        <v>3</v>
      </c>
      <c r="D572" s="52">
        <v>0</v>
      </c>
      <c r="E572" s="52">
        <v>5130</v>
      </c>
      <c r="F572" s="97" t="s">
        <v>896</v>
      </c>
      <c r="G572" s="53" t="s">
        <v>553</v>
      </c>
      <c r="H572" s="54" t="s">
        <v>553</v>
      </c>
      <c r="I572" s="54" t="s">
        <v>553</v>
      </c>
      <c r="J572" s="54" t="s">
        <v>553</v>
      </c>
    </row>
    <row r="573" spans="1:10" ht="13.5" customHeight="1">
      <c r="A573" s="55">
        <v>5</v>
      </c>
      <c r="B573" s="91">
        <v>1</v>
      </c>
      <c r="C573" s="55">
        <v>3</v>
      </c>
      <c r="D573" s="55">
        <v>1</v>
      </c>
      <c r="E573" s="56">
        <v>5131</v>
      </c>
      <c r="F573" s="95" t="s">
        <v>897</v>
      </c>
      <c r="G573" s="57" t="s">
        <v>553</v>
      </c>
      <c r="H573" s="58" t="s">
        <v>553</v>
      </c>
      <c r="I573" s="58" t="s">
        <v>553</v>
      </c>
      <c r="J573" s="58" t="s">
        <v>553</v>
      </c>
    </row>
    <row r="574" spans="1:10" ht="13.5" customHeight="1">
      <c r="A574" s="59">
        <v>5</v>
      </c>
      <c r="B574" s="92">
        <v>1</v>
      </c>
      <c r="C574" s="59">
        <v>3</v>
      </c>
      <c r="D574" s="59">
        <v>2</v>
      </c>
      <c r="E574" s="60">
        <v>5132</v>
      </c>
      <c r="F574" s="96" t="s">
        <v>898</v>
      </c>
      <c r="G574" s="61" t="s">
        <v>553</v>
      </c>
      <c r="H574" s="62" t="s">
        <v>553</v>
      </c>
      <c r="I574" s="62" t="s">
        <v>553</v>
      </c>
      <c r="J574" s="62" t="s">
        <v>553</v>
      </c>
    </row>
    <row r="575" spans="1:10" ht="13.5" customHeight="1">
      <c r="A575" s="59">
        <v>5</v>
      </c>
      <c r="B575" s="92">
        <v>1</v>
      </c>
      <c r="C575" s="59">
        <v>3</v>
      </c>
      <c r="D575" s="59">
        <v>5</v>
      </c>
      <c r="E575" s="60">
        <v>5135</v>
      </c>
      <c r="F575" s="96" t="s">
        <v>899</v>
      </c>
      <c r="G575" s="61" t="s">
        <v>553</v>
      </c>
      <c r="H575" s="62" t="s">
        <v>553</v>
      </c>
      <c r="I575" s="62" t="s">
        <v>553</v>
      </c>
      <c r="J575" s="62" t="s">
        <v>553</v>
      </c>
    </row>
    <row r="576" spans="1:10" ht="13.5" customHeight="1">
      <c r="A576" s="59">
        <v>5</v>
      </c>
      <c r="B576" s="93">
        <v>1</v>
      </c>
      <c r="C576" s="59">
        <v>3</v>
      </c>
      <c r="D576" s="59">
        <v>6</v>
      </c>
      <c r="E576" s="60">
        <v>5136</v>
      </c>
      <c r="F576" s="96" t="s">
        <v>900</v>
      </c>
      <c r="G576" s="61" t="s">
        <v>553</v>
      </c>
      <c r="H576" s="62" t="s">
        <v>553</v>
      </c>
      <c r="I576" s="62" t="s">
        <v>553</v>
      </c>
      <c r="J576" s="62" t="s">
        <v>553</v>
      </c>
    </row>
    <row r="577" spans="1:10" ht="13.5" customHeight="1">
      <c r="A577" s="52">
        <v>5</v>
      </c>
      <c r="B577" s="89">
        <v>1</v>
      </c>
      <c r="C577" s="52">
        <v>4</v>
      </c>
      <c r="D577" s="52">
        <v>0</v>
      </c>
      <c r="E577" s="52">
        <v>5140</v>
      </c>
      <c r="F577" s="97" t="s">
        <v>901</v>
      </c>
      <c r="G577" s="75" t="s">
        <v>712</v>
      </c>
      <c r="H577" s="76" t="s">
        <v>712</v>
      </c>
      <c r="I577" s="76" t="s">
        <v>712</v>
      </c>
      <c r="J577" s="76" t="s">
        <v>712</v>
      </c>
    </row>
    <row r="578" spans="1:10" ht="13.5" customHeight="1">
      <c r="A578" s="52">
        <v>5</v>
      </c>
      <c r="B578" s="89">
        <v>1</v>
      </c>
      <c r="C578" s="52">
        <v>5</v>
      </c>
      <c r="D578" s="52">
        <v>0</v>
      </c>
      <c r="E578" s="52">
        <v>5150</v>
      </c>
      <c r="F578" s="97" t="s">
        <v>902</v>
      </c>
      <c r="G578" s="53" t="s">
        <v>881</v>
      </c>
      <c r="H578" s="54" t="s">
        <v>903</v>
      </c>
      <c r="I578" s="54" t="s">
        <v>903</v>
      </c>
      <c r="J578" s="54" t="s">
        <v>903</v>
      </c>
    </row>
    <row r="579" spans="1:10" ht="13.5" customHeight="1">
      <c r="A579" s="55">
        <v>5</v>
      </c>
      <c r="B579" s="91">
        <v>1</v>
      </c>
      <c r="C579" s="55">
        <v>5</v>
      </c>
      <c r="D579" s="55">
        <v>1</v>
      </c>
      <c r="E579" s="56">
        <v>5151</v>
      </c>
      <c r="F579" s="95" t="s">
        <v>904</v>
      </c>
      <c r="G579" s="57" t="s">
        <v>553</v>
      </c>
      <c r="H579" s="58" t="s">
        <v>553</v>
      </c>
      <c r="I579" s="58" t="s">
        <v>553</v>
      </c>
      <c r="J579" s="58" t="s">
        <v>553</v>
      </c>
    </row>
    <row r="580" spans="1:10" ht="13.5" customHeight="1">
      <c r="A580" s="59">
        <v>5</v>
      </c>
      <c r="B580" s="92">
        <v>1</v>
      </c>
      <c r="C580" s="59">
        <v>5</v>
      </c>
      <c r="D580" s="59">
        <v>2</v>
      </c>
      <c r="E580" s="60">
        <v>5152</v>
      </c>
      <c r="F580" s="96" t="s">
        <v>905</v>
      </c>
      <c r="G580" s="61" t="s">
        <v>553</v>
      </c>
      <c r="H580" s="62" t="s">
        <v>553</v>
      </c>
      <c r="I580" s="62" t="s">
        <v>553</v>
      </c>
      <c r="J580" s="62" t="s">
        <v>553</v>
      </c>
    </row>
    <row r="581" spans="1:10" ht="13.5" customHeight="1">
      <c r="A581" s="59">
        <v>5</v>
      </c>
      <c r="B581" s="92">
        <v>1</v>
      </c>
      <c r="C581" s="59">
        <v>5</v>
      </c>
      <c r="D581" s="59">
        <v>3</v>
      </c>
      <c r="E581" s="60">
        <v>5153</v>
      </c>
      <c r="F581" s="96" t="s">
        <v>906</v>
      </c>
      <c r="G581" s="61" t="s">
        <v>553</v>
      </c>
      <c r="H581" s="62" t="s">
        <v>553</v>
      </c>
      <c r="I581" s="62" t="s">
        <v>553</v>
      </c>
      <c r="J581" s="62" t="s">
        <v>553</v>
      </c>
    </row>
    <row r="582" spans="1:10" ht="13.5" customHeight="1">
      <c r="A582" s="59">
        <v>5</v>
      </c>
      <c r="B582" s="92">
        <v>1</v>
      </c>
      <c r="C582" s="59">
        <v>5</v>
      </c>
      <c r="D582" s="59">
        <v>4</v>
      </c>
      <c r="E582" s="60">
        <v>5154</v>
      </c>
      <c r="F582" s="96" t="s">
        <v>907</v>
      </c>
      <c r="G582" s="61" t="s">
        <v>889</v>
      </c>
      <c r="H582" s="62" t="s">
        <v>908</v>
      </c>
      <c r="I582" s="62" t="s">
        <v>908</v>
      </c>
      <c r="J582" s="62" t="s">
        <v>882</v>
      </c>
    </row>
    <row r="583" spans="1:10" ht="13.5" customHeight="1">
      <c r="A583" s="59">
        <v>5</v>
      </c>
      <c r="B583" s="92">
        <v>1</v>
      </c>
      <c r="C583" s="59">
        <v>5</v>
      </c>
      <c r="D583" s="59">
        <v>5</v>
      </c>
      <c r="E583" s="60">
        <v>5155</v>
      </c>
      <c r="F583" s="96" t="s">
        <v>909</v>
      </c>
      <c r="G583" s="61" t="s">
        <v>553</v>
      </c>
      <c r="H583" s="62" t="s">
        <v>553</v>
      </c>
      <c r="I583" s="62" t="s">
        <v>553</v>
      </c>
      <c r="J583" s="62" t="s">
        <v>553</v>
      </c>
    </row>
    <row r="584" spans="1:10" ht="13.5" customHeight="1">
      <c r="A584" s="59">
        <v>5</v>
      </c>
      <c r="B584" s="93">
        <v>1</v>
      </c>
      <c r="C584" s="59">
        <v>5</v>
      </c>
      <c r="D584" s="59">
        <v>6</v>
      </c>
      <c r="E584" s="60">
        <v>5156</v>
      </c>
      <c r="F584" s="96" t="s">
        <v>910</v>
      </c>
      <c r="G584" s="61" t="s">
        <v>889</v>
      </c>
      <c r="H584" s="62" t="s">
        <v>908</v>
      </c>
      <c r="I584" s="62" t="s">
        <v>908</v>
      </c>
      <c r="J584" s="62" t="s">
        <v>882</v>
      </c>
    </row>
    <row r="585" spans="1:10" ht="13.5" customHeight="1">
      <c r="A585" s="52">
        <v>5</v>
      </c>
      <c r="B585" s="89">
        <v>1</v>
      </c>
      <c r="C585" s="52">
        <v>9</v>
      </c>
      <c r="D585" s="52">
        <v>0</v>
      </c>
      <c r="E585" s="52">
        <v>5190</v>
      </c>
      <c r="F585" s="97" t="s">
        <v>541</v>
      </c>
      <c r="G585" s="53" t="s">
        <v>553</v>
      </c>
      <c r="H585" s="54" t="s">
        <v>553</v>
      </c>
      <c r="I585" s="54" t="s">
        <v>553</v>
      </c>
      <c r="J585" s="54" t="s">
        <v>553</v>
      </c>
    </row>
    <row r="586" spans="1:10" ht="13.5" customHeight="1">
      <c r="A586" s="55">
        <v>5</v>
      </c>
      <c r="B586" s="91">
        <v>1</v>
      </c>
      <c r="C586" s="55">
        <v>9</v>
      </c>
      <c r="D586" s="55">
        <v>8</v>
      </c>
      <c r="E586" s="56">
        <v>5198</v>
      </c>
      <c r="F586" s="95" t="s">
        <v>666</v>
      </c>
      <c r="G586" s="57" t="s">
        <v>553</v>
      </c>
      <c r="H586" s="58" t="s">
        <v>553</v>
      </c>
      <c r="I586" s="58" t="s">
        <v>553</v>
      </c>
      <c r="J586" s="58" t="s">
        <v>553</v>
      </c>
    </row>
    <row r="587" spans="1:10" ht="13.5" customHeight="1">
      <c r="A587" s="63">
        <v>5</v>
      </c>
      <c r="B587" s="93">
        <v>1</v>
      </c>
      <c r="C587" s="63">
        <v>9</v>
      </c>
      <c r="D587" s="63">
        <v>9</v>
      </c>
      <c r="E587" s="64">
        <v>5199</v>
      </c>
      <c r="F587" s="98" t="s">
        <v>667</v>
      </c>
      <c r="G587" s="65" t="s">
        <v>553</v>
      </c>
      <c r="H587" s="66" t="s">
        <v>553</v>
      </c>
      <c r="I587" s="66" t="s">
        <v>553</v>
      </c>
      <c r="J587" s="66" t="s">
        <v>553</v>
      </c>
    </row>
    <row r="588" spans="1:10" ht="13.5" customHeight="1">
      <c r="A588" s="46">
        <v>5</v>
      </c>
      <c r="B588" s="90">
        <v>2</v>
      </c>
      <c r="C588" s="46">
        <v>0</v>
      </c>
      <c r="D588" s="46">
        <v>0</v>
      </c>
      <c r="E588" s="46">
        <v>5200</v>
      </c>
      <c r="F588" s="99" t="s">
        <v>911</v>
      </c>
      <c r="G588" s="48" t="s">
        <v>553</v>
      </c>
      <c r="H588" s="49" t="s">
        <v>553</v>
      </c>
      <c r="I588" s="49" t="s">
        <v>553</v>
      </c>
      <c r="J588" s="49" t="s">
        <v>553</v>
      </c>
    </row>
    <row r="589" spans="1:10" ht="13.5" customHeight="1">
      <c r="A589" s="52">
        <v>5</v>
      </c>
      <c r="B589" s="89">
        <v>2</v>
      </c>
      <c r="C589" s="52">
        <v>1</v>
      </c>
      <c r="D589" s="52">
        <v>0</v>
      </c>
      <c r="E589" s="52">
        <v>5210</v>
      </c>
      <c r="F589" s="97" t="s">
        <v>912</v>
      </c>
      <c r="G589" s="53" t="s">
        <v>553</v>
      </c>
      <c r="H589" s="54" t="s">
        <v>553</v>
      </c>
      <c r="I589" s="54" t="s">
        <v>553</v>
      </c>
      <c r="J589" s="54" t="s">
        <v>553</v>
      </c>
    </row>
    <row r="590" spans="1:10" ht="13.5" customHeight="1">
      <c r="A590" s="55">
        <v>5</v>
      </c>
      <c r="B590" s="91">
        <v>2</v>
      </c>
      <c r="C590" s="55">
        <v>1</v>
      </c>
      <c r="D590" s="55">
        <v>1</v>
      </c>
      <c r="E590" s="56">
        <v>5211</v>
      </c>
      <c r="F590" s="95" t="s">
        <v>913</v>
      </c>
      <c r="G590" s="57" t="s">
        <v>553</v>
      </c>
      <c r="H590" s="58" t="s">
        <v>553</v>
      </c>
      <c r="I590" s="58" t="s">
        <v>553</v>
      </c>
      <c r="J590" s="58" t="s">
        <v>553</v>
      </c>
    </row>
    <row r="591" spans="1:10" ht="13.5" customHeight="1">
      <c r="A591" s="59">
        <v>5</v>
      </c>
      <c r="B591" s="92">
        <v>2</v>
      </c>
      <c r="C591" s="59">
        <v>1</v>
      </c>
      <c r="D591" s="59">
        <v>2</v>
      </c>
      <c r="E591" s="60">
        <v>5212</v>
      </c>
      <c r="F591" s="96" t="s">
        <v>914</v>
      </c>
      <c r="G591" s="61" t="s">
        <v>553</v>
      </c>
      <c r="H591" s="62" t="s">
        <v>553</v>
      </c>
      <c r="I591" s="62" t="s">
        <v>553</v>
      </c>
      <c r="J591" s="62" t="s">
        <v>553</v>
      </c>
    </row>
    <row r="592" spans="1:10" ht="13.5" customHeight="1">
      <c r="A592" s="59">
        <v>5</v>
      </c>
      <c r="B592" s="92">
        <v>2</v>
      </c>
      <c r="C592" s="59">
        <v>1</v>
      </c>
      <c r="D592" s="59">
        <v>3</v>
      </c>
      <c r="E592" s="60">
        <v>5213</v>
      </c>
      <c r="F592" s="96" t="s">
        <v>915</v>
      </c>
      <c r="G592" s="61" t="s">
        <v>553</v>
      </c>
      <c r="H592" s="62" t="s">
        <v>553</v>
      </c>
      <c r="I592" s="62" t="s">
        <v>553</v>
      </c>
      <c r="J592" s="62" t="s">
        <v>553</v>
      </c>
    </row>
    <row r="593" spans="1:10" ht="13.5" customHeight="1">
      <c r="A593" s="59">
        <v>5</v>
      </c>
      <c r="B593" s="92">
        <v>2</v>
      </c>
      <c r="C593" s="59">
        <v>1</v>
      </c>
      <c r="D593" s="59">
        <v>4</v>
      </c>
      <c r="E593" s="60">
        <v>5214</v>
      </c>
      <c r="F593" s="96" t="s">
        <v>916</v>
      </c>
      <c r="G593" s="61" t="s">
        <v>553</v>
      </c>
      <c r="H593" s="62" t="s">
        <v>553</v>
      </c>
      <c r="I593" s="62" t="s">
        <v>553</v>
      </c>
      <c r="J593" s="62" t="s">
        <v>553</v>
      </c>
    </row>
    <row r="594" spans="1:10" ht="13.5" customHeight="1">
      <c r="A594" s="59">
        <v>5</v>
      </c>
      <c r="B594" s="93">
        <v>2</v>
      </c>
      <c r="C594" s="59">
        <v>1</v>
      </c>
      <c r="D594" s="59">
        <v>5</v>
      </c>
      <c r="E594" s="60">
        <v>5215</v>
      </c>
      <c r="F594" s="96" t="s">
        <v>917</v>
      </c>
      <c r="G594" s="61" t="s">
        <v>529</v>
      </c>
      <c r="H594" s="62" t="s">
        <v>529</v>
      </c>
      <c r="I594" s="62" t="s">
        <v>529</v>
      </c>
      <c r="J594" s="62" t="s">
        <v>529</v>
      </c>
    </row>
    <row r="595" spans="1:10" ht="13.5" customHeight="1">
      <c r="A595" s="52">
        <v>5</v>
      </c>
      <c r="B595" s="89">
        <v>2</v>
      </c>
      <c r="C595" s="52">
        <v>2</v>
      </c>
      <c r="D595" s="52">
        <v>0</v>
      </c>
      <c r="E595" s="52">
        <v>5220</v>
      </c>
      <c r="F595" s="97" t="s">
        <v>918</v>
      </c>
      <c r="G595" s="53" t="s">
        <v>553</v>
      </c>
      <c r="H595" s="54" t="s">
        <v>553</v>
      </c>
      <c r="I595" s="54" t="s">
        <v>553</v>
      </c>
      <c r="J595" s="54" t="s">
        <v>553</v>
      </c>
    </row>
    <row r="596" spans="1:10" ht="13.5" customHeight="1">
      <c r="A596" s="55">
        <v>5</v>
      </c>
      <c r="B596" s="91">
        <v>2</v>
      </c>
      <c r="C596" s="55">
        <v>1</v>
      </c>
      <c r="D596" s="55">
        <v>1</v>
      </c>
      <c r="E596" s="56">
        <v>5211</v>
      </c>
      <c r="F596" s="95" t="s">
        <v>913</v>
      </c>
      <c r="G596" s="57" t="s">
        <v>553</v>
      </c>
      <c r="H596" s="58" t="s">
        <v>553</v>
      </c>
      <c r="I596" s="58" t="s">
        <v>553</v>
      </c>
      <c r="J596" s="58" t="s">
        <v>553</v>
      </c>
    </row>
    <row r="597" spans="1:10" ht="13.5" customHeight="1">
      <c r="A597" s="59">
        <v>5</v>
      </c>
      <c r="B597" s="92">
        <v>2</v>
      </c>
      <c r="C597" s="59">
        <v>1</v>
      </c>
      <c r="D597" s="59">
        <v>2</v>
      </c>
      <c r="E597" s="60">
        <v>5212</v>
      </c>
      <c r="F597" s="96" t="s">
        <v>914</v>
      </c>
      <c r="G597" s="61" t="s">
        <v>553</v>
      </c>
      <c r="H597" s="62" t="s">
        <v>553</v>
      </c>
      <c r="I597" s="62" t="s">
        <v>553</v>
      </c>
      <c r="J597" s="62" t="s">
        <v>553</v>
      </c>
    </row>
    <row r="598" spans="1:10" ht="13.5" customHeight="1">
      <c r="A598" s="59">
        <v>5</v>
      </c>
      <c r="B598" s="92">
        <v>2</v>
      </c>
      <c r="C598" s="59">
        <v>1</v>
      </c>
      <c r="D598" s="59">
        <v>3</v>
      </c>
      <c r="E598" s="60">
        <v>5213</v>
      </c>
      <c r="F598" s="96" t="s">
        <v>915</v>
      </c>
      <c r="G598" s="61" t="s">
        <v>553</v>
      </c>
      <c r="H598" s="62" t="s">
        <v>553</v>
      </c>
      <c r="I598" s="62" t="s">
        <v>553</v>
      </c>
      <c r="J598" s="62" t="s">
        <v>553</v>
      </c>
    </row>
    <row r="599" spans="1:10" ht="13.5" customHeight="1">
      <c r="A599" s="59">
        <v>5</v>
      </c>
      <c r="B599" s="92">
        <v>2</v>
      </c>
      <c r="C599" s="59">
        <v>1</v>
      </c>
      <c r="D599" s="59">
        <v>4</v>
      </c>
      <c r="E599" s="60">
        <v>5214</v>
      </c>
      <c r="F599" s="96" t="s">
        <v>916</v>
      </c>
      <c r="G599" s="61" t="s">
        <v>553</v>
      </c>
      <c r="H599" s="62" t="s">
        <v>553</v>
      </c>
      <c r="I599" s="62" t="s">
        <v>553</v>
      </c>
      <c r="J599" s="62" t="s">
        <v>553</v>
      </c>
    </row>
    <row r="600" spans="1:10" ht="13.5" customHeight="1">
      <c r="A600" s="59">
        <v>5</v>
      </c>
      <c r="B600" s="93">
        <v>2</v>
      </c>
      <c r="C600" s="59">
        <v>1</v>
      </c>
      <c r="D600" s="59">
        <v>5</v>
      </c>
      <c r="E600" s="60">
        <v>5215</v>
      </c>
      <c r="F600" s="96" t="s">
        <v>917</v>
      </c>
      <c r="G600" s="65" t="s">
        <v>553</v>
      </c>
      <c r="H600" s="62" t="s">
        <v>553</v>
      </c>
      <c r="I600" s="62" t="s">
        <v>553</v>
      </c>
      <c r="J600" s="62" t="s">
        <v>553</v>
      </c>
    </row>
    <row r="601" spans="1:10" ht="13.5" customHeight="1">
      <c r="A601" s="52">
        <v>5</v>
      </c>
      <c r="B601" s="89">
        <v>2</v>
      </c>
      <c r="C601" s="52">
        <v>9</v>
      </c>
      <c r="D601" s="52">
        <v>0</v>
      </c>
      <c r="E601" s="52">
        <v>5290</v>
      </c>
      <c r="F601" s="97" t="s">
        <v>541</v>
      </c>
      <c r="G601" s="53" t="s">
        <v>553</v>
      </c>
      <c r="H601" s="54" t="s">
        <v>553</v>
      </c>
      <c r="I601" s="54" t="s">
        <v>553</v>
      </c>
      <c r="J601" s="54" t="s">
        <v>553</v>
      </c>
    </row>
    <row r="602" spans="1:10" ht="13.5" customHeight="1">
      <c r="A602" s="59">
        <v>5</v>
      </c>
      <c r="B602" s="91">
        <v>2</v>
      </c>
      <c r="C602" s="59">
        <v>9</v>
      </c>
      <c r="D602" s="59">
        <v>8</v>
      </c>
      <c r="E602" s="60">
        <v>5298</v>
      </c>
      <c r="F602" s="96" t="s">
        <v>666</v>
      </c>
      <c r="G602" s="61" t="s">
        <v>553</v>
      </c>
      <c r="H602" s="62" t="s">
        <v>553</v>
      </c>
      <c r="I602" s="62" t="s">
        <v>553</v>
      </c>
      <c r="J602" s="62" t="s">
        <v>553</v>
      </c>
    </row>
    <row r="603" spans="1:10" ht="13.5" customHeight="1">
      <c r="A603" s="63">
        <v>5</v>
      </c>
      <c r="B603" s="93">
        <v>2</v>
      </c>
      <c r="C603" s="63">
        <v>9</v>
      </c>
      <c r="D603" s="63">
        <v>9</v>
      </c>
      <c r="E603" s="64">
        <v>5299</v>
      </c>
      <c r="F603" s="98" t="s">
        <v>667</v>
      </c>
      <c r="G603" s="65" t="s">
        <v>553</v>
      </c>
      <c r="H603" s="66" t="s">
        <v>553</v>
      </c>
      <c r="I603" s="66" t="s">
        <v>553</v>
      </c>
      <c r="J603" s="66" t="s">
        <v>553</v>
      </c>
    </row>
    <row r="604" spans="1:10" ht="13.5" customHeight="1">
      <c r="A604" s="46">
        <v>5</v>
      </c>
      <c r="B604" s="90">
        <v>3</v>
      </c>
      <c r="C604" s="46">
        <v>0</v>
      </c>
      <c r="D604" s="46">
        <v>0</v>
      </c>
      <c r="E604" s="46">
        <v>5300</v>
      </c>
      <c r="F604" s="99" t="s">
        <v>919</v>
      </c>
      <c r="G604" s="48" t="s">
        <v>881</v>
      </c>
      <c r="H604" s="49" t="s">
        <v>920</v>
      </c>
      <c r="I604" s="49" t="s">
        <v>920</v>
      </c>
      <c r="J604" s="49" t="s">
        <v>920</v>
      </c>
    </row>
    <row r="605" spans="1:10" ht="13.5" customHeight="1">
      <c r="A605" s="52">
        <v>5</v>
      </c>
      <c r="B605" s="89">
        <v>3</v>
      </c>
      <c r="C605" s="52">
        <v>1</v>
      </c>
      <c r="D605" s="52">
        <v>0</v>
      </c>
      <c r="E605" s="52">
        <v>5310</v>
      </c>
      <c r="F605" s="97" t="s">
        <v>921</v>
      </c>
      <c r="G605" s="53" t="s">
        <v>881</v>
      </c>
      <c r="H605" s="54" t="s">
        <v>903</v>
      </c>
      <c r="I605" s="54" t="s">
        <v>922</v>
      </c>
      <c r="J605" s="54" t="s">
        <v>922</v>
      </c>
    </row>
    <row r="606" spans="1:10" ht="13.5" customHeight="1">
      <c r="A606" s="55">
        <v>5</v>
      </c>
      <c r="B606" s="91">
        <v>3</v>
      </c>
      <c r="C606" s="55">
        <v>1</v>
      </c>
      <c r="D606" s="55">
        <v>1</v>
      </c>
      <c r="E606" s="56">
        <v>5311</v>
      </c>
      <c r="F606" s="95" t="s">
        <v>923</v>
      </c>
      <c r="G606" s="57" t="s">
        <v>889</v>
      </c>
      <c r="H606" s="58" t="s">
        <v>882</v>
      </c>
      <c r="I606" s="58" t="s">
        <v>535</v>
      </c>
      <c r="J606" s="58" t="s">
        <v>535</v>
      </c>
    </row>
    <row r="607" spans="1:10" ht="13.5" customHeight="1">
      <c r="A607" s="59">
        <v>5</v>
      </c>
      <c r="B607" s="92">
        <v>3</v>
      </c>
      <c r="C607" s="59">
        <v>1</v>
      </c>
      <c r="D607" s="59">
        <v>2</v>
      </c>
      <c r="E607" s="60">
        <v>5312</v>
      </c>
      <c r="F607" s="96" t="s">
        <v>656</v>
      </c>
      <c r="G607" s="61" t="s">
        <v>553</v>
      </c>
      <c r="H607" s="62" t="s">
        <v>553</v>
      </c>
      <c r="I607" s="62" t="s">
        <v>553</v>
      </c>
      <c r="J607" s="62" t="s">
        <v>553</v>
      </c>
    </row>
    <row r="608" spans="1:10" ht="13.5" customHeight="1">
      <c r="A608" s="59">
        <v>5</v>
      </c>
      <c r="B608" s="92">
        <v>3</v>
      </c>
      <c r="C608" s="59">
        <v>1</v>
      </c>
      <c r="D608" s="59">
        <v>3</v>
      </c>
      <c r="E608" s="60">
        <v>5313</v>
      </c>
      <c r="F608" s="96" t="s">
        <v>707</v>
      </c>
      <c r="G608" s="61" t="s">
        <v>553</v>
      </c>
      <c r="H608" s="62" t="s">
        <v>553</v>
      </c>
      <c r="I608" s="62" t="s">
        <v>553</v>
      </c>
      <c r="J608" s="62" t="s">
        <v>553</v>
      </c>
    </row>
    <row r="609" spans="1:10" ht="13.5" customHeight="1">
      <c r="A609" s="59">
        <v>5</v>
      </c>
      <c r="B609" s="92">
        <v>3</v>
      </c>
      <c r="C609" s="59">
        <v>1</v>
      </c>
      <c r="D609" s="59">
        <v>4</v>
      </c>
      <c r="E609" s="60">
        <v>5314</v>
      </c>
      <c r="F609" s="96" t="s">
        <v>924</v>
      </c>
      <c r="G609" s="61" t="s">
        <v>889</v>
      </c>
      <c r="H609" s="62" t="s">
        <v>882</v>
      </c>
      <c r="I609" s="62" t="s">
        <v>882</v>
      </c>
      <c r="J609" s="62" t="s">
        <v>882</v>
      </c>
    </row>
    <row r="610" spans="1:10" ht="13.5" customHeight="1">
      <c r="A610" s="59">
        <v>5</v>
      </c>
      <c r="B610" s="93">
        <v>3</v>
      </c>
      <c r="C610" s="59">
        <v>1</v>
      </c>
      <c r="D610" s="59">
        <v>5</v>
      </c>
      <c r="E610" s="60">
        <v>5315</v>
      </c>
      <c r="F610" s="96" t="s">
        <v>548</v>
      </c>
      <c r="G610" s="61" t="s">
        <v>553</v>
      </c>
      <c r="H610" s="62" t="s">
        <v>553</v>
      </c>
      <c r="I610" s="62" t="s">
        <v>553</v>
      </c>
      <c r="J610" s="62" t="s">
        <v>553</v>
      </c>
    </row>
    <row r="611" spans="1:10" ht="13.5" customHeight="1">
      <c r="A611" s="52">
        <v>5</v>
      </c>
      <c r="B611" s="89">
        <v>3</v>
      </c>
      <c r="C611" s="52">
        <v>2</v>
      </c>
      <c r="D611" s="52">
        <v>0</v>
      </c>
      <c r="E611" s="52">
        <v>5320</v>
      </c>
      <c r="F611" s="97" t="s">
        <v>925</v>
      </c>
      <c r="G611" s="53" t="s">
        <v>881</v>
      </c>
      <c r="H611" s="54" t="s">
        <v>903</v>
      </c>
      <c r="I611" s="54" t="s">
        <v>926</v>
      </c>
      <c r="J611" s="54" t="s">
        <v>920</v>
      </c>
    </row>
    <row r="612" spans="1:10" ht="13.5" customHeight="1">
      <c r="A612" s="55">
        <v>5</v>
      </c>
      <c r="B612" s="91">
        <v>3</v>
      </c>
      <c r="C612" s="55">
        <v>2</v>
      </c>
      <c r="D612" s="55">
        <v>1</v>
      </c>
      <c r="E612" s="56">
        <v>5321</v>
      </c>
      <c r="F612" s="95" t="s">
        <v>923</v>
      </c>
      <c r="G612" s="57" t="s">
        <v>889</v>
      </c>
      <c r="H612" s="58" t="s">
        <v>882</v>
      </c>
      <c r="I612" s="58" t="s">
        <v>535</v>
      </c>
      <c r="J612" s="58" t="s">
        <v>535</v>
      </c>
    </row>
    <row r="613" spans="1:10" ht="13.5" customHeight="1">
      <c r="A613" s="59">
        <v>5</v>
      </c>
      <c r="B613" s="92">
        <v>3</v>
      </c>
      <c r="C613" s="59">
        <v>2</v>
      </c>
      <c r="D613" s="59">
        <v>2</v>
      </c>
      <c r="E613" s="60">
        <v>5322</v>
      </c>
      <c r="F613" s="96" t="s">
        <v>656</v>
      </c>
      <c r="G613" s="61" t="s">
        <v>553</v>
      </c>
      <c r="H613" s="62" t="s">
        <v>553</v>
      </c>
      <c r="I613" s="62" t="s">
        <v>553</v>
      </c>
      <c r="J613" s="62" t="s">
        <v>553</v>
      </c>
    </row>
    <row r="614" spans="1:10" ht="13.5" customHeight="1">
      <c r="A614" s="59">
        <v>5</v>
      </c>
      <c r="B614" s="92">
        <v>3</v>
      </c>
      <c r="C614" s="59">
        <v>2</v>
      </c>
      <c r="D614" s="59">
        <v>3</v>
      </c>
      <c r="E614" s="60">
        <v>5323</v>
      </c>
      <c r="F614" s="96" t="s">
        <v>707</v>
      </c>
      <c r="G614" s="61" t="s">
        <v>553</v>
      </c>
      <c r="H614" s="62" t="s">
        <v>553</v>
      </c>
      <c r="I614" s="62" t="s">
        <v>553</v>
      </c>
      <c r="J614" s="62" t="s">
        <v>553</v>
      </c>
    </row>
    <row r="615" spans="1:10" ht="13.5" customHeight="1">
      <c r="A615" s="59">
        <v>5</v>
      </c>
      <c r="B615" s="92">
        <v>3</v>
      </c>
      <c r="C615" s="59">
        <v>2</v>
      </c>
      <c r="D615" s="59">
        <v>4</v>
      </c>
      <c r="E615" s="60">
        <v>5324</v>
      </c>
      <c r="F615" s="96" t="s">
        <v>924</v>
      </c>
      <c r="G615" s="61" t="s">
        <v>889</v>
      </c>
      <c r="H615" s="62" t="s">
        <v>882</v>
      </c>
      <c r="I615" s="62" t="s">
        <v>882</v>
      </c>
      <c r="J615" s="62" t="s">
        <v>882</v>
      </c>
    </row>
    <row r="616" spans="1:10" ht="13.5" customHeight="1">
      <c r="A616" s="59">
        <v>5</v>
      </c>
      <c r="B616" s="93">
        <v>3</v>
      </c>
      <c r="C616" s="59">
        <v>2</v>
      </c>
      <c r="D616" s="59">
        <v>5</v>
      </c>
      <c r="E616" s="60">
        <v>5325</v>
      </c>
      <c r="F616" s="96" t="s">
        <v>548</v>
      </c>
      <c r="G616" s="61" t="s">
        <v>553</v>
      </c>
      <c r="H616" s="62" t="s">
        <v>553</v>
      </c>
      <c r="I616" s="62" t="s">
        <v>553</v>
      </c>
      <c r="J616" s="62" t="s">
        <v>553</v>
      </c>
    </row>
    <row r="617" spans="1:10" ht="13.5" customHeight="1">
      <c r="A617" s="52">
        <v>5</v>
      </c>
      <c r="B617" s="89">
        <v>3</v>
      </c>
      <c r="C617" s="52">
        <v>3</v>
      </c>
      <c r="D617" s="52">
        <v>0</v>
      </c>
      <c r="E617" s="52">
        <v>5330</v>
      </c>
      <c r="F617" s="97" t="s">
        <v>927</v>
      </c>
      <c r="G617" s="53" t="s">
        <v>553</v>
      </c>
      <c r="H617" s="54" t="s">
        <v>553</v>
      </c>
      <c r="I617" s="54" t="s">
        <v>553</v>
      </c>
      <c r="J617" s="54" t="s">
        <v>553</v>
      </c>
    </row>
    <row r="618" spans="1:10" ht="13.5" customHeight="1">
      <c r="A618" s="55">
        <v>5</v>
      </c>
      <c r="B618" s="91">
        <v>3</v>
      </c>
      <c r="C618" s="55">
        <v>3</v>
      </c>
      <c r="D618" s="55">
        <v>1</v>
      </c>
      <c r="E618" s="56">
        <v>5331</v>
      </c>
      <c r="F618" s="95" t="s">
        <v>923</v>
      </c>
      <c r="G618" s="57" t="s">
        <v>889</v>
      </c>
      <c r="H618" s="58" t="s">
        <v>882</v>
      </c>
      <c r="I618" s="58" t="s">
        <v>535</v>
      </c>
      <c r="J618" s="58" t="s">
        <v>535</v>
      </c>
    </row>
    <row r="619" spans="1:10" ht="13.5" customHeight="1">
      <c r="A619" s="59">
        <v>5</v>
      </c>
      <c r="B619" s="92">
        <v>3</v>
      </c>
      <c r="C619" s="59">
        <v>3</v>
      </c>
      <c r="D619" s="59">
        <v>2</v>
      </c>
      <c r="E619" s="60">
        <v>5332</v>
      </c>
      <c r="F619" s="96" t="s">
        <v>656</v>
      </c>
      <c r="G619" s="61" t="s">
        <v>553</v>
      </c>
      <c r="H619" s="62" t="s">
        <v>553</v>
      </c>
      <c r="I619" s="62" t="s">
        <v>553</v>
      </c>
      <c r="J619" s="62" t="s">
        <v>553</v>
      </c>
    </row>
    <row r="620" spans="1:10" ht="13.5" customHeight="1">
      <c r="A620" s="59">
        <v>5</v>
      </c>
      <c r="B620" s="92">
        <v>3</v>
      </c>
      <c r="C620" s="59">
        <v>3</v>
      </c>
      <c r="D620" s="59">
        <v>3</v>
      </c>
      <c r="E620" s="60">
        <v>5333</v>
      </c>
      <c r="F620" s="96" t="s">
        <v>707</v>
      </c>
      <c r="G620" s="61" t="s">
        <v>553</v>
      </c>
      <c r="H620" s="62" t="s">
        <v>553</v>
      </c>
      <c r="I620" s="62" t="s">
        <v>553</v>
      </c>
      <c r="J620" s="62" t="s">
        <v>553</v>
      </c>
    </row>
    <row r="621" spans="1:10" ht="13.5" customHeight="1">
      <c r="A621" s="59">
        <v>5</v>
      </c>
      <c r="B621" s="92">
        <v>3</v>
      </c>
      <c r="C621" s="59">
        <v>3</v>
      </c>
      <c r="D621" s="59">
        <v>4</v>
      </c>
      <c r="E621" s="60">
        <v>5334</v>
      </c>
      <c r="F621" s="96" t="s">
        <v>924</v>
      </c>
      <c r="G621" s="61" t="s">
        <v>889</v>
      </c>
      <c r="H621" s="62" t="s">
        <v>882</v>
      </c>
      <c r="I621" s="62" t="s">
        <v>882</v>
      </c>
      <c r="J621" s="62" t="s">
        <v>882</v>
      </c>
    </row>
    <row r="622" spans="1:10" ht="13.5" customHeight="1">
      <c r="A622" s="59">
        <v>5</v>
      </c>
      <c r="B622" s="93">
        <v>3</v>
      </c>
      <c r="C622" s="59">
        <v>3</v>
      </c>
      <c r="D622" s="59">
        <v>5</v>
      </c>
      <c r="E622" s="60">
        <v>5335</v>
      </c>
      <c r="F622" s="96" t="s">
        <v>548</v>
      </c>
      <c r="G622" s="61" t="s">
        <v>553</v>
      </c>
      <c r="H622" s="62" t="s">
        <v>553</v>
      </c>
      <c r="I622" s="62" t="s">
        <v>553</v>
      </c>
      <c r="J622" s="62" t="s">
        <v>553</v>
      </c>
    </row>
    <row r="623" spans="1:10" ht="13.5" customHeight="1">
      <c r="A623" s="52">
        <v>5</v>
      </c>
      <c r="B623" s="89">
        <v>3</v>
      </c>
      <c r="C623" s="52">
        <v>4</v>
      </c>
      <c r="D623" s="52">
        <v>0</v>
      </c>
      <c r="E623" s="52">
        <v>5340</v>
      </c>
      <c r="F623" s="97" t="s">
        <v>928</v>
      </c>
      <c r="G623" s="53" t="s">
        <v>553</v>
      </c>
      <c r="H623" s="54" t="s">
        <v>553</v>
      </c>
      <c r="I623" s="54" t="s">
        <v>553</v>
      </c>
      <c r="J623" s="54" t="s">
        <v>553</v>
      </c>
    </row>
    <row r="624" spans="1:10" ht="13.5" customHeight="1">
      <c r="A624" s="55">
        <v>5</v>
      </c>
      <c r="B624" s="91">
        <v>3</v>
      </c>
      <c r="C624" s="55">
        <v>4</v>
      </c>
      <c r="D624" s="55">
        <v>1</v>
      </c>
      <c r="E624" s="56">
        <v>5341</v>
      </c>
      <c r="F624" s="95" t="s">
        <v>923</v>
      </c>
      <c r="G624" s="57" t="s">
        <v>889</v>
      </c>
      <c r="H624" s="58" t="s">
        <v>882</v>
      </c>
      <c r="I624" s="58" t="s">
        <v>535</v>
      </c>
      <c r="J624" s="58" t="s">
        <v>535</v>
      </c>
    </row>
    <row r="625" spans="1:10" ht="13.5" customHeight="1">
      <c r="A625" s="59">
        <v>5</v>
      </c>
      <c r="B625" s="92">
        <v>3</v>
      </c>
      <c r="C625" s="59">
        <v>4</v>
      </c>
      <c r="D625" s="59">
        <v>2</v>
      </c>
      <c r="E625" s="60">
        <v>5342</v>
      </c>
      <c r="F625" s="96" t="s">
        <v>656</v>
      </c>
      <c r="G625" s="61" t="s">
        <v>553</v>
      </c>
      <c r="H625" s="62" t="s">
        <v>553</v>
      </c>
      <c r="I625" s="62" t="s">
        <v>553</v>
      </c>
      <c r="J625" s="62" t="s">
        <v>553</v>
      </c>
    </row>
    <row r="626" spans="1:10" ht="13.5" customHeight="1">
      <c r="A626" s="59">
        <v>5</v>
      </c>
      <c r="B626" s="92">
        <v>3</v>
      </c>
      <c r="C626" s="59">
        <v>4</v>
      </c>
      <c r="D626" s="59">
        <v>3</v>
      </c>
      <c r="E626" s="60">
        <v>5343</v>
      </c>
      <c r="F626" s="96" t="s">
        <v>707</v>
      </c>
      <c r="G626" s="61" t="s">
        <v>553</v>
      </c>
      <c r="H626" s="62" t="s">
        <v>553</v>
      </c>
      <c r="I626" s="62" t="s">
        <v>553</v>
      </c>
      <c r="J626" s="62" t="s">
        <v>553</v>
      </c>
    </row>
    <row r="627" spans="1:10" ht="13.5" customHeight="1">
      <c r="A627" s="59">
        <v>5</v>
      </c>
      <c r="B627" s="92">
        <v>3</v>
      </c>
      <c r="C627" s="59">
        <v>4</v>
      </c>
      <c r="D627" s="59">
        <v>4</v>
      </c>
      <c r="E627" s="60">
        <v>5344</v>
      </c>
      <c r="F627" s="96" t="s">
        <v>924</v>
      </c>
      <c r="G627" s="61" t="s">
        <v>889</v>
      </c>
      <c r="H627" s="62" t="s">
        <v>882</v>
      </c>
      <c r="I627" s="62" t="s">
        <v>882</v>
      </c>
      <c r="J627" s="62" t="s">
        <v>882</v>
      </c>
    </row>
    <row r="628" spans="1:10" ht="13.5" customHeight="1">
      <c r="A628" s="59">
        <v>5</v>
      </c>
      <c r="B628" s="93">
        <v>3</v>
      </c>
      <c r="C628" s="59">
        <v>4</v>
      </c>
      <c r="D628" s="59">
        <v>5</v>
      </c>
      <c r="E628" s="60">
        <v>5345</v>
      </c>
      <c r="F628" s="96" t="s">
        <v>548</v>
      </c>
      <c r="G628" s="61" t="s">
        <v>553</v>
      </c>
      <c r="H628" s="62" t="s">
        <v>553</v>
      </c>
      <c r="I628" s="62" t="s">
        <v>553</v>
      </c>
      <c r="J628" s="62" t="s">
        <v>553</v>
      </c>
    </row>
    <row r="629" spans="1:10" ht="13.5" customHeight="1">
      <c r="A629" s="52">
        <v>5</v>
      </c>
      <c r="B629" s="89">
        <v>3</v>
      </c>
      <c r="C629" s="52">
        <v>5</v>
      </c>
      <c r="D629" s="52">
        <v>0</v>
      </c>
      <c r="E629" s="52">
        <v>5350</v>
      </c>
      <c r="F629" s="97" t="s">
        <v>929</v>
      </c>
      <c r="G629" s="53" t="s">
        <v>889</v>
      </c>
      <c r="H629" s="54" t="s">
        <v>882</v>
      </c>
      <c r="I629" s="54" t="s">
        <v>882</v>
      </c>
      <c r="J629" s="54" t="s">
        <v>882</v>
      </c>
    </row>
    <row r="630" spans="1:10" ht="13.5" customHeight="1">
      <c r="A630" s="52">
        <v>5</v>
      </c>
      <c r="B630" s="89">
        <v>3</v>
      </c>
      <c r="C630" s="52">
        <v>6</v>
      </c>
      <c r="D630" s="52">
        <v>0</v>
      </c>
      <c r="E630" s="52">
        <v>5360</v>
      </c>
      <c r="F630" s="97" t="s">
        <v>930</v>
      </c>
      <c r="G630" s="53" t="s">
        <v>889</v>
      </c>
      <c r="H630" s="54" t="s">
        <v>882</v>
      </c>
      <c r="I630" s="54" t="s">
        <v>882</v>
      </c>
      <c r="J630" s="54" t="s">
        <v>882</v>
      </c>
    </row>
    <row r="631" spans="1:10" ht="13.5" customHeight="1">
      <c r="A631" s="52">
        <v>5</v>
      </c>
      <c r="B631" s="89">
        <v>3</v>
      </c>
      <c r="C631" s="52">
        <v>7</v>
      </c>
      <c r="D631" s="52">
        <v>0</v>
      </c>
      <c r="E631" s="52">
        <v>5370</v>
      </c>
      <c r="F631" s="97" t="s">
        <v>931</v>
      </c>
      <c r="G631" s="53" t="s">
        <v>535</v>
      </c>
      <c r="H631" s="54" t="s">
        <v>535</v>
      </c>
      <c r="I631" s="54" t="s">
        <v>535</v>
      </c>
      <c r="J631" s="54" t="s">
        <v>535</v>
      </c>
    </row>
    <row r="632" spans="1:10" ht="13.5" customHeight="1">
      <c r="A632" s="52">
        <v>5</v>
      </c>
      <c r="B632" s="89">
        <v>3</v>
      </c>
      <c r="C632" s="52">
        <v>8</v>
      </c>
      <c r="D632" s="52">
        <v>0</v>
      </c>
      <c r="E632" s="52">
        <v>5380</v>
      </c>
      <c r="F632" s="97" t="s">
        <v>932</v>
      </c>
      <c r="G632" s="53" t="s">
        <v>889</v>
      </c>
      <c r="H632" s="54" t="s">
        <v>882</v>
      </c>
      <c r="I632" s="54" t="s">
        <v>882</v>
      </c>
      <c r="J632" s="54" t="s">
        <v>882</v>
      </c>
    </row>
    <row r="633" spans="1:10" ht="13.5" customHeight="1">
      <c r="A633" s="55">
        <v>5</v>
      </c>
      <c r="B633" s="91">
        <v>3</v>
      </c>
      <c r="C633" s="55">
        <v>8</v>
      </c>
      <c r="D633" s="55">
        <v>1</v>
      </c>
      <c r="E633" s="56">
        <v>5381</v>
      </c>
      <c r="F633" s="95" t="s">
        <v>933</v>
      </c>
      <c r="G633" s="57" t="s">
        <v>889</v>
      </c>
      <c r="H633" s="58" t="s">
        <v>882</v>
      </c>
      <c r="I633" s="58" t="s">
        <v>882</v>
      </c>
      <c r="J633" s="58" t="s">
        <v>882</v>
      </c>
    </row>
    <row r="634" spans="1:10" ht="13.5" customHeight="1">
      <c r="A634" s="59">
        <v>5</v>
      </c>
      <c r="B634" s="92">
        <v>3</v>
      </c>
      <c r="C634" s="59">
        <v>8</v>
      </c>
      <c r="D634" s="59">
        <v>2</v>
      </c>
      <c r="E634" s="60">
        <v>5382</v>
      </c>
      <c r="F634" s="96" t="s">
        <v>934</v>
      </c>
      <c r="G634" s="61" t="s">
        <v>889</v>
      </c>
      <c r="H634" s="62" t="s">
        <v>882</v>
      </c>
      <c r="I634" s="62" t="s">
        <v>882</v>
      </c>
      <c r="J634" s="62" t="s">
        <v>882</v>
      </c>
    </row>
    <row r="635" spans="1:10" ht="13.5" customHeight="1">
      <c r="A635" s="59">
        <v>5</v>
      </c>
      <c r="B635" s="92">
        <v>3</v>
      </c>
      <c r="C635" s="59">
        <v>8</v>
      </c>
      <c r="D635" s="59">
        <v>3</v>
      </c>
      <c r="E635" s="60">
        <v>5383</v>
      </c>
      <c r="F635" s="96" t="s">
        <v>935</v>
      </c>
      <c r="G635" s="61" t="s">
        <v>889</v>
      </c>
      <c r="H635" s="62" t="s">
        <v>882</v>
      </c>
      <c r="I635" s="62" t="s">
        <v>882</v>
      </c>
      <c r="J635" s="62" t="s">
        <v>882</v>
      </c>
    </row>
    <row r="636" spans="1:10" ht="13.5" customHeight="1">
      <c r="A636" s="59">
        <v>5</v>
      </c>
      <c r="B636" s="93">
        <v>3</v>
      </c>
      <c r="C636" s="59">
        <v>8</v>
      </c>
      <c r="D636" s="59">
        <v>4</v>
      </c>
      <c r="E636" s="60">
        <v>5384</v>
      </c>
      <c r="F636" s="96" t="s">
        <v>936</v>
      </c>
      <c r="G636" s="61" t="s">
        <v>889</v>
      </c>
      <c r="H636" s="62" t="s">
        <v>882</v>
      </c>
      <c r="I636" s="62" t="s">
        <v>882</v>
      </c>
      <c r="J636" s="62" t="s">
        <v>882</v>
      </c>
    </row>
    <row r="637" spans="1:10" ht="13.5" customHeight="1">
      <c r="A637" s="52">
        <v>5</v>
      </c>
      <c r="B637" s="89">
        <v>3</v>
      </c>
      <c r="C637" s="52">
        <v>9</v>
      </c>
      <c r="D637" s="52">
        <v>0</v>
      </c>
      <c r="E637" s="52">
        <v>5390</v>
      </c>
      <c r="F637" s="97" t="s">
        <v>541</v>
      </c>
      <c r="G637" s="53" t="s">
        <v>553</v>
      </c>
      <c r="H637" s="54" t="s">
        <v>553</v>
      </c>
      <c r="I637" s="54" t="s">
        <v>553</v>
      </c>
      <c r="J637" s="54" t="s">
        <v>553</v>
      </c>
    </row>
    <row r="638" spans="1:10" ht="13.5" customHeight="1">
      <c r="A638" s="59">
        <v>5</v>
      </c>
      <c r="B638" s="91">
        <v>3</v>
      </c>
      <c r="C638" s="59">
        <v>9</v>
      </c>
      <c r="D638" s="59">
        <v>8</v>
      </c>
      <c r="E638" s="60">
        <v>5398</v>
      </c>
      <c r="F638" s="96" t="s">
        <v>666</v>
      </c>
      <c r="G638" s="61" t="s">
        <v>553</v>
      </c>
      <c r="H638" s="62" t="s">
        <v>553</v>
      </c>
      <c r="I638" s="62" t="s">
        <v>553</v>
      </c>
      <c r="J638" s="62" t="s">
        <v>553</v>
      </c>
    </row>
    <row r="639" spans="1:10" ht="13.5" customHeight="1">
      <c r="A639" s="63">
        <v>5</v>
      </c>
      <c r="B639" s="93">
        <v>3</v>
      </c>
      <c r="C639" s="63">
        <v>9</v>
      </c>
      <c r="D639" s="63">
        <v>9</v>
      </c>
      <c r="E639" s="64">
        <v>5399</v>
      </c>
      <c r="F639" s="98" t="s">
        <v>667</v>
      </c>
      <c r="G639" s="65" t="s">
        <v>553</v>
      </c>
      <c r="H639" s="66" t="s">
        <v>553</v>
      </c>
      <c r="I639" s="66" t="s">
        <v>553</v>
      </c>
      <c r="J639" s="66" t="s">
        <v>553</v>
      </c>
    </row>
    <row r="640" spans="1:10" ht="13.5" customHeight="1">
      <c r="A640" s="46">
        <v>5</v>
      </c>
      <c r="B640" s="90">
        <v>4</v>
      </c>
      <c r="C640" s="46">
        <v>0</v>
      </c>
      <c r="D640" s="46">
        <v>0</v>
      </c>
      <c r="E640" s="46">
        <v>5400</v>
      </c>
      <c r="F640" s="99" t="s">
        <v>937</v>
      </c>
      <c r="G640" s="48" t="s">
        <v>529</v>
      </c>
      <c r="H640" s="49" t="s">
        <v>529</v>
      </c>
      <c r="I640" s="49" t="s">
        <v>529</v>
      </c>
      <c r="J640" s="49" t="s">
        <v>529</v>
      </c>
    </row>
    <row r="641" spans="1:10" ht="13.5" customHeight="1">
      <c r="A641" s="52">
        <v>5</v>
      </c>
      <c r="B641" s="89">
        <v>4</v>
      </c>
      <c r="C641" s="52">
        <v>1</v>
      </c>
      <c r="D641" s="52">
        <v>0</v>
      </c>
      <c r="E641" s="52">
        <v>5410</v>
      </c>
      <c r="F641" s="97" t="s">
        <v>938</v>
      </c>
      <c r="G641" s="53" t="s">
        <v>529</v>
      </c>
      <c r="H641" s="54" t="s">
        <v>529</v>
      </c>
      <c r="I641" s="54" t="s">
        <v>529</v>
      </c>
      <c r="J641" s="54" t="s">
        <v>529</v>
      </c>
    </row>
    <row r="642" spans="1:10" ht="13.5" customHeight="1">
      <c r="A642" s="52">
        <v>5</v>
      </c>
      <c r="B642" s="89">
        <v>4</v>
      </c>
      <c r="C642" s="52">
        <v>2</v>
      </c>
      <c r="D642" s="52">
        <v>0</v>
      </c>
      <c r="E642" s="52">
        <v>5420</v>
      </c>
      <c r="F642" s="97" t="s">
        <v>939</v>
      </c>
      <c r="G642" s="53" t="s">
        <v>529</v>
      </c>
      <c r="H642" s="54" t="s">
        <v>529</v>
      </c>
      <c r="I642" s="54" t="s">
        <v>529</v>
      </c>
      <c r="J642" s="54" t="s">
        <v>529</v>
      </c>
    </row>
    <row r="643" spans="1:10" ht="13.5" customHeight="1">
      <c r="A643" s="52">
        <v>5</v>
      </c>
      <c r="B643" s="89">
        <v>4</v>
      </c>
      <c r="C643" s="52">
        <v>3</v>
      </c>
      <c r="D643" s="52">
        <v>0</v>
      </c>
      <c r="E643" s="52">
        <v>5430</v>
      </c>
      <c r="F643" s="97" t="s">
        <v>940</v>
      </c>
      <c r="G643" s="53" t="s">
        <v>529</v>
      </c>
      <c r="H643" s="54" t="s">
        <v>529</v>
      </c>
      <c r="I643" s="54" t="s">
        <v>529</v>
      </c>
      <c r="J643" s="54" t="s">
        <v>529</v>
      </c>
    </row>
    <row r="644" spans="1:10" ht="13.5" customHeight="1">
      <c r="A644" s="52">
        <v>5</v>
      </c>
      <c r="B644" s="89">
        <v>4</v>
      </c>
      <c r="C644" s="52">
        <v>9</v>
      </c>
      <c r="D644" s="52">
        <v>0</v>
      </c>
      <c r="E644" s="52">
        <v>5490</v>
      </c>
      <c r="F644" s="97" t="s">
        <v>541</v>
      </c>
      <c r="G644" s="53" t="s">
        <v>529</v>
      </c>
      <c r="H644" s="54" t="s">
        <v>529</v>
      </c>
      <c r="I644" s="54" t="s">
        <v>529</v>
      </c>
      <c r="J644" s="54" t="s">
        <v>529</v>
      </c>
    </row>
    <row r="645" spans="1:10" ht="13.5" customHeight="1">
      <c r="A645" s="46">
        <v>5</v>
      </c>
      <c r="B645" s="90">
        <v>5</v>
      </c>
      <c r="C645" s="46">
        <v>0</v>
      </c>
      <c r="D645" s="46">
        <v>0</v>
      </c>
      <c r="E645" s="46">
        <v>5500</v>
      </c>
      <c r="F645" s="99" t="s">
        <v>941</v>
      </c>
      <c r="G645" s="48" t="s">
        <v>553</v>
      </c>
      <c r="H645" s="49" t="s">
        <v>553</v>
      </c>
      <c r="I645" s="49" t="s">
        <v>553</v>
      </c>
      <c r="J645" s="49" t="s">
        <v>553</v>
      </c>
    </row>
    <row r="646" spans="1:10" ht="13.5" customHeight="1">
      <c r="A646" s="52">
        <v>5</v>
      </c>
      <c r="B646" s="89">
        <v>5</v>
      </c>
      <c r="C646" s="52">
        <v>1</v>
      </c>
      <c r="D646" s="52">
        <v>0</v>
      </c>
      <c r="E646" s="52">
        <v>5510</v>
      </c>
      <c r="F646" s="97" t="s">
        <v>942</v>
      </c>
      <c r="G646" s="53" t="s">
        <v>529</v>
      </c>
      <c r="H646" s="54" t="s">
        <v>529</v>
      </c>
      <c r="I646" s="54" t="s">
        <v>529</v>
      </c>
      <c r="J646" s="54" t="s">
        <v>529</v>
      </c>
    </row>
    <row r="647" spans="1:10" ht="13.5" customHeight="1">
      <c r="A647" s="52">
        <v>5</v>
      </c>
      <c r="B647" s="89">
        <v>5</v>
      </c>
      <c r="C647" s="52">
        <v>2</v>
      </c>
      <c r="D647" s="52">
        <v>0</v>
      </c>
      <c r="E647" s="52">
        <v>5520</v>
      </c>
      <c r="F647" s="97" t="s">
        <v>943</v>
      </c>
      <c r="G647" s="53" t="s">
        <v>553</v>
      </c>
      <c r="H647" s="54" t="s">
        <v>553</v>
      </c>
      <c r="I647" s="54" t="s">
        <v>553</v>
      </c>
      <c r="J647" s="54" t="s">
        <v>553</v>
      </c>
    </row>
    <row r="648" spans="1:10" ht="13.5" customHeight="1">
      <c r="A648" s="55">
        <v>5</v>
      </c>
      <c r="B648" s="91">
        <v>5</v>
      </c>
      <c r="C648" s="55">
        <v>2</v>
      </c>
      <c r="D648" s="55">
        <v>1</v>
      </c>
      <c r="E648" s="56">
        <v>5521</v>
      </c>
      <c r="F648" s="95" t="s">
        <v>944</v>
      </c>
      <c r="G648" s="57" t="s">
        <v>553</v>
      </c>
      <c r="H648" s="58" t="s">
        <v>553</v>
      </c>
      <c r="I648" s="58" t="s">
        <v>553</v>
      </c>
      <c r="J648" s="58" t="s">
        <v>553</v>
      </c>
    </row>
    <row r="649" spans="1:10" ht="13.5" customHeight="1">
      <c r="A649" s="59">
        <v>5</v>
      </c>
      <c r="B649" s="92">
        <v>5</v>
      </c>
      <c r="C649" s="59">
        <v>2</v>
      </c>
      <c r="D649" s="59">
        <v>2</v>
      </c>
      <c r="E649" s="60">
        <v>5522</v>
      </c>
      <c r="F649" s="96" t="s">
        <v>945</v>
      </c>
      <c r="G649" s="61" t="s">
        <v>553</v>
      </c>
      <c r="H649" s="62" t="s">
        <v>553</v>
      </c>
      <c r="I649" s="62" t="s">
        <v>553</v>
      </c>
      <c r="J649" s="62" t="s">
        <v>553</v>
      </c>
    </row>
    <row r="650" spans="1:10" ht="13.5" customHeight="1">
      <c r="A650" s="59">
        <v>5</v>
      </c>
      <c r="B650" s="93">
        <v>5</v>
      </c>
      <c r="C650" s="59">
        <v>2</v>
      </c>
      <c r="D650" s="59">
        <v>3</v>
      </c>
      <c r="E650" s="60">
        <v>5523</v>
      </c>
      <c r="F650" s="96" t="s">
        <v>946</v>
      </c>
      <c r="G650" s="61" t="s">
        <v>553</v>
      </c>
      <c r="H650" s="62" t="s">
        <v>553</v>
      </c>
      <c r="I650" s="62" t="s">
        <v>553</v>
      </c>
      <c r="J650" s="62" t="s">
        <v>553</v>
      </c>
    </row>
    <row r="651" spans="1:10" ht="13.5" customHeight="1">
      <c r="A651" s="52">
        <v>5</v>
      </c>
      <c r="B651" s="89">
        <v>5</v>
      </c>
      <c r="C651" s="52">
        <v>3</v>
      </c>
      <c r="D651" s="52">
        <v>0</v>
      </c>
      <c r="E651" s="52">
        <v>5530</v>
      </c>
      <c r="F651" s="97" t="s">
        <v>947</v>
      </c>
      <c r="G651" s="53" t="s">
        <v>553</v>
      </c>
      <c r="H651" s="54" t="s">
        <v>553</v>
      </c>
      <c r="I651" s="54" t="s">
        <v>553</v>
      </c>
      <c r="J651" s="54" t="s">
        <v>553</v>
      </c>
    </row>
    <row r="652" spans="1:10" ht="13.5" customHeight="1">
      <c r="A652" s="55">
        <v>5</v>
      </c>
      <c r="B652" s="91">
        <v>5</v>
      </c>
      <c r="C652" s="55">
        <v>3</v>
      </c>
      <c r="D652" s="55">
        <v>1</v>
      </c>
      <c r="E652" s="56">
        <v>5531</v>
      </c>
      <c r="F652" s="95" t="s">
        <v>948</v>
      </c>
      <c r="G652" s="57" t="s">
        <v>553</v>
      </c>
      <c r="H652" s="58" t="s">
        <v>553</v>
      </c>
      <c r="I652" s="58" t="s">
        <v>553</v>
      </c>
      <c r="J652" s="58" t="s">
        <v>553</v>
      </c>
    </row>
    <row r="653" spans="1:10" ht="13.5" customHeight="1">
      <c r="A653" s="59">
        <v>5</v>
      </c>
      <c r="B653" s="92">
        <v>5</v>
      </c>
      <c r="C653" s="59">
        <v>3</v>
      </c>
      <c r="D653" s="59">
        <v>2</v>
      </c>
      <c r="E653" s="60">
        <v>5532</v>
      </c>
      <c r="F653" s="96" t="s">
        <v>742</v>
      </c>
      <c r="G653" s="61" t="s">
        <v>553</v>
      </c>
      <c r="H653" s="62" t="s">
        <v>553</v>
      </c>
      <c r="I653" s="62" t="s">
        <v>553</v>
      </c>
      <c r="J653" s="62" t="s">
        <v>553</v>
      </c>
    </row>
    <row r="654" spans="1:10" ht="13.5" customHeight="1">
      <c r="A654" s="59">
        <v>5</v>
      </c>
      <c r="B654" s="92">
        <v>5</v>
      </c>
      <c r="C654" s="59">
        <v>3</v>
      </c>
      <c r="D654" s="59">
        <v>3</v>
      </c>
      <c r="E654" s="60">
        <v>5533</v>
      </c>
      <c r="F654" s="96" t="s">
        <v>949</v>
      </c>
      <c r="G654" s="61" t="s">
        <v>553</v>
      </c>
      <c r="H654" s="62" t="s">
        <v>553</v>
      </c>
      <c r="I654" s="62" t="s">
        <v>553</v>
      </c>
      <c r="J654" s="62" t="s">
        <v>553</v>
      </c>
    </row>
    <row r="655" spans="1:10" ht="13.5" customHeight="1">
      <c r="A655" s="59">
        <v>5</v>
      </c>
      <c r="B655" s="92">
        <v>5</v>
      </c>
      <c r="C655" s="59">
        <v>3</v>
      </c>
      <c r="D655" s="59">
        <v>4</v>
      </c>
      <c r="E655" s="60">
        <v>5534</v>
      </c>
      <c r="F655" s="96" t="s">
        <v>950</v>
      </c>
      <c r="G655" s="61" t="s">
        <v>553</v>
      </c>
      <c r="H655" s="62" t="s">
        <v>553</v>
      </c>
      <c r="I655" s="62" t="s">
        <v>553</v>
      </c>
      <c r="J655" s="62" t="s">
        <v>553</v>
      </c>
    </row>
    <row r="656" spans="1:10" ht="13.5" customHeight="1">
      <c r="A656" s="59">
        <v>5</v>
      </c>
      <c r="B656" s="92">
        <v>5</v>
      </c>
      <c r="C656" s="59">
        <v>3</v>
      </c>
      <c r="D656" s="59">
        <v>5</v>
      </c>
      <c r="E656" s="60">
        <v>5535</v>
      </c>
      <c r="F656" s="96" t="s">
        <v>951</v>
      </c>
      <c r="G656" s="61" t="s">
        <v>553</v>
      </c>
      <c r="H656" s="62" t="s">
        <v>553</v>
      </c>
      <c r="I656" s="62" t="s">
        <v>553</v>
      </c>
      <c r="J656" s="62" t="s">
        <v>553</v>
      </c>
    </row>
    <row r="657" spans="1:10" ht="13.5" customHeight="1">
      <c r="A657" s="59">
        <v>5</v>
      </c>
      <c r="B657" s="92">
        <v>5</v>
      </c>
      <c r="C657" s="59">
        <v>3</v>
      </c>
      <c r="D657" s="59">
        <v>6</v>
      </c>
      <c r="E657" s="60">
        <v>5536</v>
      </c>
      <c r="F657" s="96" t="s">
        <v>952</v>
      </c>
      <c r="G657" s="61" t="s">
        <v>553</v>
      </c>
      <c r="H657" s="62" t="s">
        <v>553</v>
      </c>
      <c r="I657" s="62" t="s">
        <v>553</v>
      </c>
      <c r="J657" s="62" t="s">
        <v>553</v>
      </c>
    </row>
    <row r="658" spans="1:10" ht="13.5" customHeight="1">
      <c r="A658" s="59">
        <v>5</v>
      </c>
      <c r="B658" s="93">
        <v>5</v>
      </c>
      <c r="C658" s="59">
        <v>3</v>
      </c>
      <c r="D658" s="59">
        <v>7</v>
      </c>
      <c r="E658" s="60">
        <v>5537</v>
      </c>
      <c r="F658" s="96" t="s">
        <v>953</v>
      </c>
      <c r="G658" s="61" t="s">
        <v>553</v>
      </c>
      <c r="H658" s="62" t="s">
        <v>553</v>
      </c>
      <c r="I658" s="62" t="s">
        <v>553</v>
      </c>
      <c r="J658" s="62" t="s">
        <v>553</v>
      </c>
    </row>
    <row r="659" spans="1:10" ht="13.5" customHeight="1">
      <c r="A659" s="52">
        <v>5</v>
      </c>
      <c r="B659" s="89">
        <v>5</v>
      </c>
      <c r="C659" s="52">
        <v>4</v>
      </c>
      <c r="D659" s="52">
        <v>0</v>
      </c>
      <c r="E659" s="52">
        <v>5540</v>
      </c>
      <c r="F659" s="97" t="s">
        <v>954</v>
      </c>
      <c r="G659" s="53" t="s">
        <v>529</v>
      </c>
      <c r="H659" s="54" t="s">
        <v>529</v>
      </c>
      <c r="I659" s="54" t="s">
        <v>529</v>
      </c>
      <c r="J659" s="54" t="s">
        <v>529</v>
      </c>
    </row>
    <row r="660" spans="1:10" ht="13.5" customHeight="1">
      <c r="A660" s="52">
        <v>5</v>
      </c>
      <c r="B660" s="89">
        <v>5</v>
      </c>
      <c r="C660" s="52">
        <v>9</v>
      </c>
      <c r="D660" s="52">
        <v>0</v>
      </c>
      <c r="E660" s="52">
        <v>5590</v>
      </c>
      <c r="F660" s="97" t="s">
        <v>541</v>
      </c>
      <c r="G660" s="53" t="s">
        <v>553</v>
      </c>
      <c r="H660" s="54" t="s">
        <v>553</v>
      </c>
      <c r="I660" s="54" t="s">
        <v>553</v>
      </c>
      <c r="J660" s="54" t="s">
        <v>553</v>
      </c>
    </row>
    <row r="661" spans="1:10" ht="13.5" customHeight="1">
      <c r="A661" s="59">
        <v>5</v>
      </c>
      <c r="B661" s="91">
        <v>5</v>
      </c>
      <c r="C661" s="59">
        <v>9</v>
      </c>
      <c r="D661" s="59">
        <v>8</v>
      </c>
      <c r="E661" s="60">
        <v>5598</v>
      </c>
      <c r="F661" s="96" t="s">
        <v>666</v>
      </c>
      <c r="G661" s="61" t="s">
        <v>553</v>
      </c>
      <c r="H661" s="62" t="s">
        <v>553</v>
      </c>
      <c r="I661" s="62" t="s">
        <v>553</v>
      </c>
      <c r="J661" s="62" t="s">
        <v>553</v>
      </c>
    </row>
    <row r="662" spans="1:10" ht="13.5" customHeight="1">
      <c r="A662" s="63">
        <v>5</v>
      </c>
      <c r="B662" s="93">
        <v>5</v>
      </c>
      <c r="C662" s="63">
        <v>9</v>
      </c>
      <c r="D662" s="63">
        <v>9</v>
      </c>
      <c r="E662" s="64">
        <v>5599</v>
      </c>
      <c r="F662" s="98" t="s">
        <v>667</v>
      </c>
      <c r="G662" s="65" t="s">
        <v>553</v>
      </c>
      <c r="H662" s="66" t="s">
        <v>553</v>
      </c>
      <c r="I662" s="66" t="s">
        <v>553</v>
      </c>
      <c r="J662" s="66" t="s">
        <v>553</v>
      </c>
    </row>
    <row r="663" spans="1:10" ht="13.5" customHeight="1">
      <c r="A663" s="46">
        <v>5</v>
      </c>
      <c r="B663" s="90">
        <v>6</v>
      </c>
      <c r="C663" s="46">
        <v>0</v>
      </c>
      <c r="D663" s="46">
        <v>0</v>
      </c>
      <c r="E663" s="46">
        <v>5600</v>
      </c>
      <c r="F663" s="99" t="s">
        <v>955</v>
      </c>
      <c r="G663" s="48" t="s">
        <v>553</v>
      </c>
      <c r="H663" s="49" t="s">
        <v>553</v>
      </c>
      <c r="I663" s="49" t="s">
        <v>553</v>
      </c>
      <c r="J663" s="49" t="s">
        <v>553</v>
      </c>
    </row>
    <row r="664" spans="1:10" ht="13.5" customHeight="1">
      <c r="A664" s="52">
        <v>5</v>
      </c>
      <c r="B664" s="89">
        <v>6</v>
      </c>
      <c r="C664" s="52">
        <v>1</v>
      </c>
      <c r="D664" s="52">
        <v>0</v>
      </c>
      <c r="E664" s="52">
        <v>5610</v>
      </c>
      <c r="F664" s="97" t="s">
        <v>956</v>
      </c>
      <c r="G664" s="53" t="s">
        <v>553</v>
      </c>
      <c r="H664" s="54" t="s">
        <v>553</v>
      </c>
      <c r="I664" s="54" t="s">
        <v>553</v>
      </c>
      <c r="J664" s="54" t="s">
        <v>553</v>
      </c>
    </row>
    <row r="665" spans="1:10" ht="13.5" customHeight="1">
      <c r="A665" s="52">
        <v>5</v>
      </c>
      <c r="B665" s="89">
        <v>6</v>
      </c>
      <c r="C665" s="52">
        <v>2</v>
      </c>
      <c r="D665" s="52">
        <v>0</v>
      </c>
      <c r="E665" s="52">
        <v>5620</v>
      </c>
      <c r="F665" s="97" t="s">
        <v>957</v>
      </c>
      <c r="G665" s="53" t="s">
        <v>553</v>
      </c>
      <c r="H665" s="54" t="s">
        <v>553</v>
      </c>
      <c r="I665" s="54" t="s">
        <v>553</v>
      </c>
      <c r="J665" s="54" t="s">
        <v>553</v>
      </c>
    </row>
    <row r="666" spans="1:10" ht="13.5" customHeight="1">
      <c r="A666" s="52">
        <v>5</v>
      </c>
      <c r="B666" s="89">
        <v>6</v>
      </c>
      <c r="C666" s="52">
        <v>3</v>
      </c>
      <c r="D666" s="52">
        <v>0</v>
      </c>
      <c r="E666" s="52">
        <v>5630</v>
      </c>
      <c r="F666" s="97" t="s">
        <v>958</v>
      </c>
      <c r="G666" s="53" t="s">
        <v>553</v>
      </c>
      <c r="H666" s="54" t="s">
        <v>553</v>
      </c>
      <c r="I666" s="54" t="s">
        <v>553</v>
      </c>
      <c r="J666" s="54" t="s">
        <v>553</v>
      </c>
    </row>
    <row r="667" spans="1:10" ht="13.5" customHeight="1">
      <c r="A667" s="59">
        <v>5</v>
      </c>
      <c r="B667" s="91">
        <v>6</v>
      </c>
      <c r="C667" s="59">
        <v>3</v>
      </c>
      <c r="D667" s="59">
        <v>2</v>
      </c>
      <c r="E667" s="60">
        <v>5632</v>
      </c>
      <c r="F667" s="96" t="s">
        <v>959</v>
      </c>
      <c r="G667" s="61" t="s">
        <v>553</v>
      </c>
      <c r="H667" s="62" t="s">
        <v>553</v>
      </c>
      <c r="I667" s="62" t="s">
        <v>553</v>
      </c>
      <c r="J667" s="62" t="s">
        <v>553</v>
      </c>
    </row>
    <row r="668" spans="1:10" ht="13.5" customHeight="1">
      <c r="A668" s="63">
        <v>5</v>
      </c>
      <c r="B668" s="93">
        <v>6</v>
      </c>
      <c r="C668" s="63">
        <v>3</v>
      </c>
      <c r="D668" s="63">
        <v>3</v>
      </c>
      <c r="E668" s="64">
        <v>5633</v>
      </c>
      <c r="F668" s="98" t="s">
        <v>960</v>
      </c>
      <c r="G668" s="65" t="s">
        <v>553</v>
      </c>
      <c r="H668" s="66" t="s">
        <v>553</v>
      </c>
      <c r="I668" s="66" t="s">
        <v>553</v>
      </c>
      <c r="J668" s="66" t="s">
        <v>553</v>
      </c>
    </row>
    <row r="669" spans="1:10" ht="13.5" customHeight="1">
      <c r="A669" s="52">
        <v>5</v>
      </c>
      <c r="B669" s="89">
        <v>6</v>
      </c>
      <c r="C669" s="52">
        <v>4</v>
      </c>
      <c r="D669" s="52">
        <v>0</v>
      </c>
      <c r="E669" s="52">
        <v>5640</v>
      </c>
      <c r="F669" s="97" t="s">
        <v>594</v>
      </c>
      <c r="G669" s="53" t="s">
        <v>553</v>
      </c>
      <c r="H669" s="54" t="s">
        <v>553</v>
      </c>
      <c r="I669" s="54" t="s">
        <v>553</v>
      </c>
      <c r="J669" s="54" t="s">
        <v>553</v>
      </c>
    </row>
    <row r="670" spans="1:10" ht="13.5" customHeight="1">
      <c r="A670" s="55">
        <v>5</v>
      </c>
      <c r="B670" s="91">
        <v>6</v>
      </c>
      <c r="C670" s="55">
        <v>4</v>
      </c>
      <c r="D670" s="55">
        <v>1</v>
      </c>
      <c r="E670" s="56">
        <v>5641</v>
      </c>
      <c r="F670" s="95" t="s">
        <v>961</v>
      </c>
      <c r="G670" s="57" t="s">
        <v>553</v>
      </c>
      <c r="H670" s="58" t="s">
        <v>553</v>
      </c>
      <c r="I670" s="58" t="s">
        <v>553</v>
      </c>
      <c r="J670" s="58" t="s">
        <v>553</v>
      </c>
    </row>
    <row r="671" spans="1:10" ht="13.5" customHeight="1">
      <c r="A671" s="59">
        <v>5</v>
      </c>
      <c r="B671" s="92">
        <v>6</v>
      </c>
      <c r="C671" s="59">
        <v>4</v>
      </c>
      <c r="D671" s="59">
        <v>2</v>
      </c>
      <c r="E671" s="60">
        <v>5642</v>
      </c>
      <c r="F671" s="96" t="s">
        <v>962</v>
      </c>
      <c r="G671" s="61" t="s">
        <v>553</v>
      </c>
      <c r="H671" s="62" t="s">
        <v>553</v>
      </c>
      <c r="I671" s="62" t="s">
        <v>553</v>
      </c>
      <c r="J671" s="62" t="s">
        <v>553</v>
      </c>
    </row>
    <row r="672" spans="1:10" ht="13.5" customHeight="1">
      <c r="A672" s="59">
        <v>5</v>
      </c>
      <c r="B672" s="92">
        <v>6</v>
      </c>
      <c r="C672" s="59">
        <v>4</v>
      </c>
      <c r="D672" s="59">
        <v>3</v>
      </c>
      <c r="E672" s="60">
        <v>5643</v>
      </c>
      <c r="F672" s="96" t="s">
        <v>963</v>
      </c>
      <c r="G672" s="61" t="s">
        <v>553</v>
      </c>
      <c r="H672" s="62" t="s">
        <v>553</v>
      </c>
      <c r="I672" s="62" t="s">
        <v>553</v>
      </c>
      <c r="J672" s="62" t="s">
        <v>553</v>
      </c>
    </row>
    <row r="673" spans="1:10" ht="13.5" customHeight="1">
      <c r="A673" s="63">
        <v>5</v>
      </c>
      <c r="B673" s="93">
        <v>6</v>
      </c>
      <c r="C673" s="63">
        <v>4</v>
      </c>
      <c r="D673" s="63">
        <v>4</v>
      </c>
      <c r="E673" s="64">
        <v>5644</v>
      </c>
      <c r="F673" s="98" t="s">
        <v>964</v>
      </c>
      <c r="G673" s="65" t="s">
        <v>553</v>
      </c>
      <c r="H673" s="66" t="s">
        <v>553</v>
      </c>
      <c r="I673" s="66" t="s">
        <v>553</v>
      </c>
      <c r="J673" s="66" t="s">
        <v>553</v>
      </c>
    </row>
    <row r="674" spans="1:10" ht="13.5" customHeight="1">
      <c r="A674" s="52">
        <v>5</v>
      </c>
      <c r="B674" s="89">
        <v>6</v>
      </c>
      <c r="C674" s="52">
        <v>5</v>
      </c>
      <c r="D674" s="52">
        <v>0</v>
      </c>
      <c r="E674" s="52">
        <v>5650</v>
      </c>
      <c r="F674" s="97" t="s">
        <v>965</v>
      </c>
      <c r="G674" s="53" t="s">
        <v>553</v>
      </c>
      <c r="H674" s="54" t="s">
        <v>553</v>
      </c>
      <c r="I674" s="54" t="s">
        <v>553</v>
      </c>
      <c r="J674" s="54" t="s">
        <v>553</v>
      </c>
    </row>
    <row r="675" spans="1:10" ht="13.5" customHeight="1">
      <c r="A675" s="55">
        <v>5</v>
      </c>
      <c r="B675" s="91">
        <v>6</v>
      </c>
      <c r="C675" s="55">
        <v>5</v>
      </c>
      <c r="D675" s="55">
        <v>1</v>
      </c>
      <c r="E675" s="56">
        <v>5651</v>
      </c>
      <c r="F675" s="95" t="s">
        <v>961</v>
      </c>
      <c r="G675" s="57" t="s">
        <v>553</v>
      </c>
      <c r="H675" s="58" t="s">
        <v>553</v>
      </c>
      <c r="I675" s="58" t="s">
        <v>553</v>
      </c>
      <c r="J675" s="58" t="s">
        <v>553</v>
      </c>
    </row>
    <row r="676" spans="1:10" ht="13.5" customHeight="1">
      <c r="A676" s="59">
        <v>5</v>
      </c>
      <c r="B676" s="92">
        <v>6</v>
      </c>
      <c r="C676" s="59">
        <v>5</v>
      </c>
      <c r="D676" s="59">
        <v>2</v>
      </c>
      <c r="E676" s="60">
        <v>5652</v>
      </c>
      <c r="F676" s="96" t="s">
        <v>962</v>
      </c>
      <c r="G676" s="61" t="s">
        <v>553</v>
      </c>
      <c r="H676" s="62" t="s">
        <v>553</v>
      </c>
      <c r="I676" s="62" t="s">
        <v>553</v>
      </c>
      <c r="J676" s="62" t="s">
        <v>553</v>
      </c>
    </row>
    <row r="677" spans="1:10" ht="13.5" customHeight="1">
      <c r="A677" s="59">
        <v>5</v>
      </c>
      <c r="B677" s="92">
        <v>6</v>
      </c>
      <c r="C677" s="59">
        <v>5</v>
      </c>
      <c r="D677" s="59">
        <v>3</v>
      </c>
      <c r="E677" s="60">
        <v>5653</v>
      </c>
      <c r="F677" s="96" t="s">
        <v>963</v>
      </c>
      <c r="G677" s="61" t="s">
        <v>553</v>
      </c>
      <c r="H677" s="62" t="s">
        <v>553</v>
      </c>
      <c r="I677" s="62" t="s">
        <v>553</v>
      </c>
      <c r="J677" s="62" t="s">
        <v>553</v>
      </c>
    </row>
    <row r="678" spans="1:10" ht="13.5" customHeight="1">
      <c r="A678" s="59">
        <v>5</v>
      </c>
      <c r="B678" s="92">
        <v>6</v>
      </c>
      <c r="C678" s="59">
        <v>5</v>
      </c>
      <c r="D678" s="59">
        <v>4</v>
      </c>
      <c r="E678" s="60">
        <v>5654</v>
      </c>
      <c r="F678" s="96" t="s">
        <v>964</v>
      </c>
      <c r="G678" s="61" t="s">
        <v>553</v>
      </c>
      <c r="H678" s="62" t="s">
        <v>553</v>
      </c>
      <c r="I678" s="62" t="s">
        <v>553</v>
      </c>
      <c r="J678" s="62" t="s">
        <v>553</v>
      </c>
    </row>
    <row r="679" spans="1:10" ht="13.5" customHeight="1">
      <c r="A679" s="59">
        <v>5</v>
      </c>
      <c r="B679" s="93">
        <v>6</v>
      </c>
      <c r="C679" s="59">
        <v>5</v>
      </c>
      <c r="D679" s="59">
        <v>5</v>
      </c>
      <c r="E679" s="60">
        <v>5655</v>
      </c>
      <c r="F679" s="96" t="s">
        <v>966</v>
      </c>
      <c r="G679" s="61" t="s">
        <v>553</v>
      </c>
      <c r="H679" s="62" t="s">
        <v>553</v>
      </c>
      <c r="I679" s="62" t="s">
        <v>553</v>
      </c>
      <c r="J679" s="62" t="s">
        <v>553</v>
      </c>
    </row>
    <row r="680" spans="1:10" ht="13.5" customHeight="1">
      <c r="A680" s="42">
        <v>6</v>
      </c>
      <c r="B680" s="88">
        <v>0</v>
      </c>
      <c r="C680" s="42">
        <v>0</v>
      </c>
      <c r="D680" s="42">
        <v>0</v>
      </c>
      <c r="E680" s="42">
        <v>6000</v>
      </c>
      <c r="F680" s="100" t="s">
        <v>967</v>
      </c>
      <c r="G680" s="44" t="s">
        <v>531</v>
      </c>
      <c r="H680" s="45" t="s">
        <v>531</v>
      </c>
      <c r="I680" s="45" t="s">
        <v>531</v>
      </c>
      <c r="J680" s="45" t="s">
        <v>531</v>
      </c>
    </row>
    <row r="681" spans="1:10" ht="13.5" customHeight="1">
      <c r="A681" s="46">
        <v>6</v>
      </c>
      <c r="B681" s="90">
        <v>1</v>
      </c>
      <c r="C681" s="46">
        <v>0</v>
      </c>
      <c r="D681" s="46">
        <v>0</v>
      </c>
      <c r="E681" s="46">
        <v>6100</v>
      </c>
      <c r="F681" s="99" t="s">
        <v>968</v>
      </c>
      <c r="G681" s="48" t="s">
        <v>531</v>
      </c>
      <c r="H681" s="49" t="s">
        <v>531</v>
      </c>
      <c r="I681" s="49" t="s">
        <v>531</v>
      </c>
      <c r="J681" s="49" t="s">
        <v>531</v>
      </c>
    </row>
    <row r="682" spans="1:10" ht="13.5" customHeight="1">
      <c r="A682" s="52">
        <v>6</v>
      </c>
      <c r="B682" s="89">
        <v>1</v>
      </c>
      <c r="C682" s="52">
        <v>1</v>
      </c>
      <c r="D682" s="52">
        <v>0</v>
      </c>
      <c r="E682" s="52">
        <v>6110</v>
      </c>
      <c r="F682" s="97" t="s">
        <v>969</v>
      </c>
      <c r="G682" s="53" t="s">
        <v>531</v>
      </c>
      <c r="H682" s="54" t="s">
        <v>531</v>
      </c>
      <c r="I682" s="54" t="s">
        <v>531</v>
      </c>
      <c r="J682" s="54" t="s">
        <v>531</v>
      </c>
    </row>
    <row r="683" spans="1:10" ht="13.5" customHeight="1">
      <c r="A683" s="59">
        <v>6</v>
      </c>
      <c r="B683" s="91">
        <v>1</v>
      </c>
      <c r="C683" s="59">
        <v>1</v>
      </c>
      <c r="D683" s="59">
        <v>3</v>
      </c>
      <c r="E683" s="60">
        <v>6113</v>
      </c>
      <c r="F683" s="96" t="s">
        <v>970</v>
      </c>
      <c r="G683" s="61" t="s">
        <v>535</v>
      </c>
      <c r="H683" s="62" t="s">
        <v>535</v>
      </c>
      <c r="I683" s="62" t="s">
        <v>535</v>
      </c>
      <c r="J683" s="62" t="s">
        <v>535</v>
      </c>
    </row>
    <row r="684" spans="1:10" ht="13.5" customHeight="1">
      <c r="A684" s="59">
        <v>6</v>
      </c>
      <c r="B684" s="92">
        <v>1</v>
      </c>
      <c r="C684" s="59">
        <v>1</v>
      </c>
      <c r="D684" s="59">
        <v>4</v>
      </c>
      <c r="E684" s="60">
        <v>6114</v>
      </c>
      <c r="F684" s="96" t="s">
        <v>569</v>
      </c>
      <c r="G684" s="61" t="s">
        <v>553</v>
      </c>
      <c r="H684" s="62" t="s">
        <v>553</v>
      </c>
      <c r="I684" s="62" t="s">
        <v>553</v>
      </c>
      <c r="J684" s="62" t="s">
        <v>553</v>
      </c>
    </row>
    <row r="685" spans="1:10" ht="13.5" customHeight="1">
      <c r="A685" s="59">
        <v>6</v>
      </c>
      <c r="B685" s="93">
        <v>1</v>
      </c>
      <c r="C685" s="59">
        <v>1</v>
      </c>
      <c r="D685" s="59">
        <v>5</v>
      </c>
      <c r="E685" s="60">
        <v>6115</v>
      </c>
      <c r="F685" s="96" t="s">
        <v>971</v>
      </c>
      <c r="G685" s="61" t="s">
        <v>553</v>
      </c>
      <c r="H685" s="62" t="s">
        <v>553</v>
      </c>
      <c r="I685" s="62" t="s">
        <v>553</v>
      </c>
      <c r="J685" s="62" t="s">
        <v>553</v>
      </c>
    </row>
    <row r="686" spans="1:10" ht="13.5" customHeight="1">
      <c r="A686" s="52">
        <v>6</v>
      </c>
      <c r="B686" s="89">
        <v>1</v>
      </c>
      <c r="C686" s="52">
        <v>2</v>
      </c>
      <c r="D686" s="52">
        <v>0</v>
      </c>
      <c r="E686" s="52">
        <v>6120</v>
      </c>
      <c r="F686" s="97" t="s">
        <v>972</v>
      </c>
      <c r="G686" s="53" t="s">
        <v>531</v>
      </c>
      <c r="H686" s="54" t="s">
        <v>531</v>
      </c>
      <c r="I686" s="54" t="s">
        <v>531</v>
      </c>
      <c r="J686" s="54" t="s">
        <v>531</v>
      </c>
    </row>
    <row r="687" spans="1:10" ht="13.5" customHeight="1">
      <c r="A687" s="55">
        <v>6</v>
      </c>
      <c r="B687" s="91">
        <v>1</v>
      </c>
      <c r="C687" s="55">
        <v>2</v>
      </c>
      <c r="D687" s="55">
        <v>1</v>
      </c>
      <c r="E687" s="56">
        <v>6121</v>
      </c>
      <c r="F687" s="95" t="s">
        <v>973</v>
      </c>
      <c r="G687" s="57" t="s">
        <v>553</v>
      </c>
      <c r="H687" s="58" t="s">
        <v>553</v>
      </c>
      <c r="I687" s="58" t="s">
        <v>553</v>
      </c>
      <c r="J687" s="58" t="s">
        <v>553</v>
      </c>
    </row>
    <row r="688" spans="1:10" ht="13.5" customHeight="1">
      <c r="A688" s="59">
        <v>6</v>
      </c>
      <c r="B688" s="92">
        <v>1</v>
      </c>
      <c r="C688" s="59">
        <v>2</v>
      </c>
      <c r="D688" s="59">
        <v>2</v>
      </c>
      <c r="E688" s="60">
        <v>6122</v>
      </c>
      <c r="F688" s="96" t="s">
        <v>974</v>
      </c>
      <c r="G688" s="61" t="s">
        <v>553</v>
      </c>
      <c r="H688" s="62" t="s">
        <v>553</v>
      </c>
      <c r="I688" s="62" t="s">
        <v>553</v>
      </c>
      <c r="J688" s="62" t="s">
        <v>553</v>
      </c>
    </row>
    <row r="689" spans="1:10" ht="13.5" customHeight="1">
      <c r="A689" s="59">
        <v>6</v>
      </c>
      <c r="B689" s="92">
        <v>1</v>
      </c>
      <c r="C689" s="59">
        <v>2</v>
      </c>
      <c r="D689" s="59">
        <v>3</v>
      </c>
      <c r="E689" s="60">
        <v>6123</v>
      </c>
      <c r="F689" s="96" t="s">
        <v>975</v>
      </c>
      <c r="G689" s="61" t="s">
        <v>535</v>
      </c>
      <c r="H689" s="62" t="s">
        <v>535</v>
      </c>
      <c r="I689" s="62" t="s">
        <v>535</v>
      </c>
      <c r="J689" s="62" t="s">
        <v>535</v>
      </c>
    </row>
    <row r="690" spans="1:10" ht="13.5" customHeight="1">
      <c r="A690" s="59">
        <v>6</v>
      </c>
      <c r="B690" s="92">
        <v>1</v>
      </c>
      <c r="C690" s="59">
        <v>2</v>
      </c>
      <c r="D690" s="59">
        <v>4</v>
      </c>
      <c r="E690" s="60">
        <v>6124</v>
      </c>
      <c r="F690" s="96" t="s">
        <v>976</v>
      </c>
      <c r="G690" s="61" t="s">
        <v>553</v>
      </c>
      <c r="H690" s="62" t="s">
        <v>553</v>
      </c>
      <c r="I690" s="62" t="s">
        <v>553</v>
      </c>
      <c r="J690" s="62" t="s">
        <v>553</v>
      </c>
    </row>
    <row r="691" spans="1:10" ht="13.5" customHeight="1">
      <c r="A691" s="59">
        <v>6</v>
      </c>
      <c r="B691" s="92">
        <v>1</v>
      </c>
      <c r="C691" s="59">
        <v>2</v>
      </c>
      <c r="D691" s="59">
        <v>5</v>
      </c>
      <c r="E691" s="60">
        <v>6125</v>
      </c>
      <c r="F691" s="96" t="s">
        <v>977</v>
      </c>
      <c r="G691" s="61" t="s">
        <v>535</v>
      </c>
      <c r="H691" s="62" t="s">
        <v>535</v>
      </c>
      <c r="I691" s="62" t="s">
        <v>535</v>
      </c>
      <c r="J691" s="62" t="s">
        <v>535</v>
      </c>
    </row>
    <row r="692" spans="1:10" ht="13.5" customHeight="1">
      <c r="A692" s="59">
        <v>6</v>
      </c>
      <c r="B692" s="92">
        <v>1</v>
      </c>
      <c r="C692" s="59">
        <v>2</v>
      </c>
      <c r="D692" s="59">
        <v>6</v>
      </c>
      <c r="E692" s="60">
        <v>6126</v>
      </c>
      <c r="F692" s="96" t="s">
        <v>978</v>
      </c>
      <c r="G692" s="61" t="s">
        <v>535</v>
      </c>
      <c r="H692" s="62" t="s">
        <v>535</v>
      </c>
      <c r="I692" s="62" t="s">
        <v>535</v>
      </c>
      <c r="J692" s="62" t="s">
        <v>535</v>
      </c>
    </row>
    <row r="693" spans="1:10" ht="13.5" customHeight="1">
      <c r="A693" s="59">
        <v>6</v>
      </c>
      <c r="B693" s="92">
        <v>1</v>
      </c>
      <c r="C693" s="59">
        <v>2</v>
      </c>
      <c r="D693" s="59">
        <v>8</v>
      </c>
      <c r="E693" s="60">
        <v>6128</v>
      </c>
      <c r="F693" s="96" t="s">
        <v>979</v>
      </c>
      <c r="G693" s="61" t="s">
        <v>553</v>
      </c>
      <c r="H693" s="62" t="s">
        <v>553</v>
      </c>
      <c r="I693" s="62" t="s">
        <v>553</v>
      </c>
      <c r="J693" s="62" t="s">
        <v>553</v>
      </c>
    </row>
    <row r="694" spans="1:10" ht="13.5" customHeight="1">
      <c r="A694" s="63">
        <v>6</v>
      </c>
      <c r="B694" s="93">
        <v>1</v>
      </c>
      <c r="C694" s="63">
        <v>2</v>
      </c>
      <c r="D694" s="63">
        <v>9</v>
      </c>
      <c r="E694" s="64">
        <v>6129</v>
      </c>
      <c r="F694" s="98" t="s">
        <v>980</v>
      </c>
      <c r="G694" s="65" t="s">
        <v>553</v>
      </c>
      <c r="H694" s="66" t="s">
        <v>553</v>
      </c>
      <c r="I694" s="66" t="s">
        <v>553</v>
      </c>
      <c r="J694" s="66" t="s">
        <v>553</v>
      </c>
    </row>
    <row r="695" spans="1:10" ht="13.5" customHeight="1">
      <c r="A695" s="52">
        <v>6</v>
      </c>
      <c r="B695" s="89">
        <v>1</v>
      </c>
      <c r="C695" s="52">
        <v>3</v>
      </c>
      <c r="D695" s="52">
        <v>0</v>
      </c>
      <c r="E695" s="52">
        <v>6130</v>
      </c>
      <c r="F695" s="97" t="s">
        <v>981</v>
      </c>
      <c r="G695" s="53" t="s">
        <v>553</v>
      </c>
      <c r="H695" s="54" t="s">
        <v>553</v>
      </c>
      <c r="I695" s="54" t="s">
        <v>553</v>
      </c>
      <c r="J695" s="54" t="s">
        <v>553</v>
      </c>
    </row>
    <row r="696" spans="1:10" ht="13.5" customHeight="1">
      <c r="A696" s="55">
        <v>6</v>
      </c>
      <c r="B696" s="91">
        <v>1</v>
      </c>
      <c r="C696" s="55">
        <v>3</v>
      </c>
      <c r="D696" s="55">
        <v>1</v>
      </c>
      <c r="E696" s="56">
        <v>6131</v>
      </c>
      <c r="F696" s="95" t="s">
        <v>982</v>
      </c>
      <c r="G696" s="57" t="s">
        <v>553</v>
      </c>
      <c r="H696" s="58" t="s">
        <v>553</v>
      </c>
      <c r="I696" s="58" t="s">
        <v>553</v>
      </c>
      <c r="J696" s="58" t="s">
        <v>553</v>
      </c>
    </row>
    <row r="697" spans="1:10" ht="13.5" customHeight="1">
      <c r="A697" s="59">
        <v>6</v>
      </c>
      <c r="B697" s="92">
        <v>1</v>
      </c>
      <c r="C697" s="59">
        <v>3</v>
      </c>
      <c r="D697" s="59">
        <v>2</v>
      </c>
      <c r="E697" s="60">
        <v>6132</v>
      </c>
      <c r="F697" s="96" t="s">
        <v>983</v>
      </c>
      <c r="G697" s="61" t="s">
        <v>553</v>
      </c>
      <c r="H697" s="62" t="s">
        <v>553</v>
      </c>
      <c r="I697" s="62" t="s">
        <v>553</v>
      </c>
      <c r="J697" s="62" t="s">
        <v>553</v>
      </c>
    </row>
    <row r="698" spans="1:10" ht="13.5" customHeight="1">
      <c r="A698" s="59">
        <v>6</v>
      </c>
      <c r="B698" s="92">
        <v>1</v>
      </c>
      <c r="C698" s="59">
        <v>3</v>
      </c>
      <c r="D698" s="59">
        <v>3</v>
      </c>
      <c r="E698" s="60">
        <v>6133</v>
      </c>
      <c r="F698" s="96" t="s">
        <v>984</v>
      </c>
      <c r="G698" s="61" t="s">
        <v>553</v>
      </c>
      <c r="H698" s="62" t="s">
        <v>553</v>
      </c>
      <c r="I698" s="62" t="s">
        <v>553</v>
      </c>
      <c r="J698" s="62" t="s">
        <v>553</v>
      </c>
    </row>
    <row r="699" spans="1:10" ht="13.5" customHeight="1">
      <c r="A699" s="59">
        <v>6</v>
      </c>
      <c r="B699" s="92">
        <v>1</v>
      </c>
      <c r="C699" s="59">
        <v>3</v>
      </c>
      <c r="D699" s="59">
        <v>4</v>
      </c>
      <c r="E699" s="60">
        <v>6134</v>
      </c>
      <c r="F699" s="96" t="s">
        <v>985</v>
      </c>
      <c r="G699" s="61" t="s">
        <v>553</v>
      </c>
      <c r="H699" s="62" t="s">
        <v>553</v>
      </c>
      <c r="I699" s="62" t="s">
        <v>553</v>
      </c>
      <c r="J699" s="62" t="s">
        <v>553</v>
      </c>
    </row>
    <row r="700" spans="1:10" ht="13.5" customHeight="1">
      <c r="A700" s="59">
        <v>6</v>
      </c>
      <c r="B700" s="92">
        <v>1</v>
      </c>
      <c r="C700" s="59">
        <v>3</v>
      </c>
      <c r="D700" s="59">
        <v>5</v>
      </c>
      <c r="E700" s="60">
        <v>6135</v>
      </c>
      <c r="F700" s="96" t="s">
        <v>986</v>
      </c>
      <c r="G700" s="61" t="s">
        <v>553</v>
      </c>
      <c r="H700" s="62" t="s">
        <v>553</v>
      </c>
      <c r="I700" s="62" t="s">
        <v>553</v>
      </c>
      <c r="J700" s="62" t="s">
        <v>553</v>
      </c>
    </row>
    <row r="701" spans="1:10" ht="13.5" customHeight="1">
      <c r="A701" s="59">
        <v>6</v>
      </c>
      <c r="B701" s="92">
        <v>1</v>
      </c>
      <c r="C701" s="59">
        <v>3</v>
      </c>
      <c r="D701" s="59">
        <v>6</v>
      </c>
      <c r="E701" s="60">
        <v>6136</v>
      </c>
      <c r="F701" s="96" t="s">
        <v>987</v>
      </c>
      <c r="G701" s="61" t="s">
        <v>553</v>
      </c>
      <c r="H701" s="62" t="s">
        <v>553</v>
      </c>
      <c r="I701" s="62" t="s">
        <v>553</v>
      </c>
      <c r="J701" s="62" t="s">
        <v>553</v>
      </c>
    </row>
    <row r="702" spans="1:10" ht="13.5" customHeight="1">
      <c r="A702" s="59">
        <v>6</v>
      </c>
      <c r="B702" s="92">
        <v>1</v>
      </c>
      <c r="C702" s="59">
        <v>3</v>
      </c>
      <c r="D702" s="59">
        <v>7</v>
      </c>
      <c r="E702" s="60">
        <v>6137</v>
      </c>
      <c r="F702" s="96" t="s">
        <v>988</v>
      </c>
      <c r="G702" s="61" t="s">
        <v>553</v>
      </c>
      <c r="H702" s="62" t="s">
        <v>553</v>
      </c>
      <c r="I702" s="62" t="s">
        <v>553</v>
      </c>
      <c r="J702" s="62" t="s">
        <v>553</v>
      </c>
    </row>
    <row r="703" spans="1:10" ht="13.5" customHeight="1">
      <c r="A703" s="59">
        <v>6</v>
      </c>
      <c r="B703" s="92">
        <v>1</v>
      </c>
      <c r="C703" s="59">
        <v>3</v>
      </c>
      <c r="D703" s="59">
        <v>8</v>
      </c>
      <c r="E703" s="60">
        <v>6138</v>
      </c>
      <c r="F703" s="96" t="s">
        <v>989</v>
      </c>
      <c r="G703" s="61" t="s">
        <v>553</v>
      </c>
      <c r="H703" s="62" t="s">
        <v>553</v>
      </c>
      <c r="I703" s="62" t="s">
        <v>553</v>
      </c>
      <c r="J703" s="62" t="s">
        <v>553</v>
      </c>
    </row>
    <row r="704" spans="1:10" ht="13.5" customHeight="1">
      <c r="A704" s="63">
        <v>6</v>
      </c>
      <c r="B704" s="93">
        <v>1</v>
      </c>
      <c r="C704" s="63">
        <v>3</v>
      </c>
      <c r="D704" s="63">
        <v>9</v>
      </c>
      <c r="E704" s="64">
        <v>6139</v>
      </c>
      <c r="F704" s="98" t="s">
        <v>541</v>
      </c>
      <c r="G704" s="65" t="s">
        <v>553</v>
      </c>
      <c r="H704" s="66" t="s">
        <v>553</v>
      </c>
      <c r="I704" s="66" t="s">
        <v>553</v>
      </c>
      <c r="J704" s="66" t="s">
        <v>553</v>
      </c>
    </row>
    <row r="705" spans="1:10" ht="13.5" customHeight="1">
      <c r="A705" s="52">
        <v>6</v>
      </c>
      <c r="B705" s="89">
        <v>1</v>
      </c>
      <c r="C705" s="52">
        <v>4</v>
      </c>
      <c r="D705" s="52">
        <v>0</v>
      </c>
      <c r="E705" s="52">
        <v>6140</v>
      </c>
      <c r="F705" s="97" t="s">
        <v>990</v>
      </c>
      <c r="G705" s="53" t="s">
        <v>535</v>
      </c>
      <c r="H705" s="54" t="s">
        <v>535</v>
      </c>
      <c r="I705" s="54" t="s">
        <v>535</v>
      </c>
      <c r="J705" s="54" t="s">
        <v>535</v>
      </c>
    </row>
    <row r="706" spans="1:10" ht="13.5" customHeight="1">
      <c r="A706" s="55">
        <v>6</v>
      </c>
      <c r="B706" s="91">
        <v>1</v>
      </c>
      <c r="C706" s="55">
        <v>4</v>
      </c>
      <c r="D706" s="55">
        <v>1</v>
      </c>
      <c r="E706" s="56">
        <v>6141</v>
      </c>
      <c r="F706" s="95" t="s">
        <v>991</v>
      </c>
      <c r="G706" s="57" t="s">
        <v>535</v>
      </c>
      <c r="H706" s="58" t="s">
        <v>535</v>
      </c>
      <c r="I706" s="58" t="s">
        <v>535</v>
      </c>
      <c r="J706" s="58" t="s">
        <v>535</v>
      </c>
    </row>
    <row r="707" spans="1:10" ht="13.5" customHeight="1">
      <c r="A707" s="59">
        <v>6</v>
      </c>
      <c r="B707" s="93">
        <v>1</v>
      </c>
      <c r="C707" s="59">
        <v>4</v>
      </c>
      <c r="D707" s="59">
        <v>2</v>
      </c>
      <c r="E707" s="60">
        <v>6142</v>
      </c>
      <c r="F707" s="96" t="s">
        <v>992</v>
      </c>
      <c r="G707" s="61" t="s">
        <v>535</v>
      </c>
      <c r="H707" s="62" t="s">
        <v>535</v>
      </c>
      <c r="I707" s="62" t="s">
        <v>535</v>
      </c>
      <c r="J707" s="62" t="s">
        <v>535</v>
      </c>
    </row>
    <row r="708" spans="1:10" ht="13.5" customHeight="1">
      <c r="A708" s="52">
        <v>6</v>
      </c>
      <c r="B708" s="89">
        <v>1</v>
      </c>
      <c r="C708" s="52">
        <v>5</v>
      </c>
      <c r="D708" s="52">
        <v>0</v>
      </c>
      <c r="E708" s="52">
        <v>6150</v>
      </c>
      <c r="F708" s="97" t="s">
        <v>993</v>
      </c>
      <c r="G708" s="53" t="s">
        <v>557</v>
      </c>
      <c r="H708" s="54" t="s">
        <v>557</v>
      </c>
      <c r="I708" s="54" t="s">
        <v>557</v>
      </c>
      <c r="J708" s="54" t="s">
        <v>557</v>
      </c>
    </row>
    <row r="709" spans="1:10" ht="13.5" customHeight="1">
      <c r="A709" s="59">
        <v>6</v>
      </c>
      <c r="B709" s="91">
        <v>1</v>
      </c>
      <c r="C709" s="59">
        <v>5</v>
      </c>
      <c r="D709" s="59">
        <v>5</v>
      </c>
      <c r="E709" s="60">
        <v>6155</v>
      </c>
      <c r="F709" s="96" t="s">
        <v>994</v>
      </c>
      <c r="G709" s="61" t="s">
        <v>553</v>
      </c>
      <c r="H709" s="62" t="s">
        <v>553</v>
      </c>
      <c r="I709" s="62" t="s">
        <v>553</v>
      </c>
      <c r="J709" s="62" t="s">
        <v>553</v>
      </c>
    </row>
    <row r="710" spans="1:10" ht="13.5" customHeight="1">
      <c r="A710" s="59">
        <v>6</v>
      </c>
      <c r="B710" s="92">
        <v>1</v>
      </c>
      <c r="C710" s="59">
        <v>5</v>
      </c>
      <c r="D710" s="59">
        <v>7</v>
      </c>
      <c r="E710" s="60">
        <v>6157</v>
      </c>
      <c r="F710" s="96" t="s">
        <v>995</v>
      </c>
      <c r="G710" s="61" t="s">
        <v>553</v>
      </c>
      <c r="H710" s="62" t="s">
        <v>553</v>
      </c>
      <c r="I710" s="62" t="s">
        <v>553</v>
      </c>
      <c r="J710" s="62" t="s">
        <v>553</v>
      </c>
    </row>
    <row r="711" spans="1:10" ht="13.5" customHeight="1">
      <c r="A711" s="59">
        <v>6</v>
      </c>
      <c r="B711" s="92">
        <v>1</v>
      </c>
      <c r="C711" s="59">
        <v>5</v>
      </c>
      <c r="D711" s="59">
        <v>8</v>
      </c>
      <c r="E711" s="60">
        <v>6158</v>
      </c>
      <c r="F711" s="96" t="s">
        <v>996</v>
      </c>
      <c r="G711" s="61" t="s">
        <v>553</v>
      </c>
      <c r="H711" s="62" t="s">
        <v>553</v>
      </c>
      <c r="I711" s="62" t="s">
        <v>553</v>
      </c>
      <c r="J711" s="62" t="s">
        <v>553</v>
      </c>
    </row>
    <row r="712" spans="1:10" ht="13.5" customHeight="1">
      <c r="A712" s="63">
        <v>6</v>
      </c>
      <c r="B712" s="93">
        <v>1</v>
      </c>
      <c r="C712" s="63">
        <v>5</v>
      </c>
      <c r="D712" s="63">
        <v>9</v>
      </c>
      <c r="E712" s="64">
        <v>6159</v>
      </c>
      <c r="F712" s="98" t="s">
        <v>541</v>
      </c>
      <c r="G712" s="65" t="s">
        <v>553</v>
      </c>
      <c r="H712" s="66" t="s">
        <v>553</v>
      </c>
      <c r="I712" s="66" t="s">
        <v>553</v>
      </c>
      <c r="J712" s="66" t="s">
        <v>553</v>
      </c>
    </row>
    <row r="713" spans="1:10" ht="13.5" customHeight="1">
      <c r="A713" s="52">
        <v>6</v>
      </c>
      <c r="B713" s="89">
        <v>1</v>
      </c>
      <c r="C713" s="52">
        <v>6</v>
      </c>
      <c r="D713" s="52">
        <v>0</v>
      </c>
      <c r="E713" s="52">
        <v>6160</v>
      </c>
      <c r="F713" s="97" t="s">
        <v>997</v>
      </c>
      <c r="G713" s="53" t="s">
        <v>531</v>
      </c>
      <c r="H713" s="54" t="s">
        <v>531</v>
      </c>
      <c r="I713" s="54" t="s">
        <v>531</v>
      </c>
      <c r="J713" s="54" t="s">
        <v>531</v>
      </c>
    </row>
    <row r="714" spans="1:10" ht="13.5" customHeight="1">
      <c r="A714" s="59">
        <v>6</v>
      </c>
      <c r="B714" s="91">
        <v>1</v>
      </c>
      <c r="C714" s="59">
        <v>6</v>
      </c>
      <c r="D714" s="59">
        <v>5</v>
      </c>
      <c r="E714" s="60">
        <v>6165</v>
      </c>
      <c r="F714" s="96" t="s">
        <v>998</v>
      </c>
      <c r="G714" s="61" t="s">
        <v>535</v>
      </c>
      <c r="H714" s="62" t="s">
        <v>535</v>
      </c>
      <c r="I714" s="62" t="s">
        <v>535</v>
      </c>
      <c r="J714" s="62" t="s">
        <v>535</v>
      </c>
    </row>
    <row r="715" spans="1:10" ht="13.5" customHeight="1">
      <c r="A715" s="59">
        <v>6</v>
      </c>
      <c r="B715" s="92">
        <v>1</v>
      </c>
      <c r="C715" s="59">
        <v>6</v>
      </c>
      <c r="D715" s="59">
        <v>6</v>
      </c>
      <c r="E715" s="60">
        <v>6166</v>
      </c>
      <c r="F715" s="96" t="s">
        <v>999</v>
      </c>
      <c r="G715" s="65" t="s">
        <v>553</v>
      </c>
      <c r="H715" s="62" t="s">
        <v>553</v>
      </c>
      <c r="I715" s="62" t="s">
        <v>553</v>
      </c>
      <c r="J715" s="62" t="s">
        <v>553</v>
      </c>
    </row>
    <row r="716" spans="1:10" ht="13.5" customHeight="1">
      <c r="A716" s="59">
        <v>6</v>
      </c>
      <c r="B716" s="92">
        <v>1</v>
      </c>
      <c r="C716" s="59">
        <v>6</v>
      </c>
      <c r="D716" s="59">
        <v>8</v>
      </c>
      <c r="E716" s="60">
        <v>6168</v>
      </c>
      <c r="F716" s="96" t="s">
        <v>1000</v>
      </c>
      <c r="G716" s="61" t="s">
        <v>553</v>
      </c>
      <c r="H716" s="62" t="s">
        <v>553</v>
      </c>
      <c r="I716" s="62" t="s">
        <v>553</v>
      </c>
      <c r="J716" s="62" t="s">
        <v>553</v>
      </c>
    </row>
    <row r="717" spans="1:10" ht="13.5" customHeight="1">
      <c r="A717" s="63">
        <v>6</v>
      </c>
      <c r="B717" s="93">
        <v>1</v>
      </c>
      <c r="C717" s="63">
        <v>6</v>
      </c>
      <c r="D717" s="63">
        <v>9</v>
      </c>
      <c r="E717" s="64">
        <v>6169</v>
      </c>
      <c r="F717" s="98" t="s">
        <v>541</v>
      </c>
      <c r="G717" s="65" t="s">
        <v>553</v>
      </c>
      <c r="H717" s="66" t="s">
        <v>553</v>
      </c>
      <c r="I717" s="66" t="s">
        <v>553</v>
      </c>
      <c r="J717" s="66" t="s">
        <v>553</v>
      </c>
    </row>
    <row r="718" spans="1:10" ht="13.5" customHeight="1">
      <c r="A718" s="52">
        <v>6</v>
      </c>
      <c r="B718" s="89">
        <v>1</v>
      </c>
      <c r="C718" s="52">
        <v>7</v>
      </c>
      <c r="D718" s="52">
        <v>0</v>
      </c>
      <c r="E718" s="52">
        <v>6170</v>
      </c>
      <c r="F718" s="97" t="s">
        <v>1001</v>
      </c>
      <c r="G718" s="53" t="s">
        <v>553</v>
      </c>
      <c r="H718" s="54" t="s">
        <v>553</v>
      </c>
      <c r="I718" s="54" t="s">
        <v>553</v>
      </c>
      <c r="J718" s="54" t="s">
        <v>553</v>
      </c>
    </row>
    <row r="719" spans="1:10" ht="13.5" customHeight="1">
      <c r="A719" s="55">
        <v>6</v>
      </c>
      <c r="B719" s="91">
        <v>1</v>
      </c>
      <c r="C719" s="55">
        <v>7</v>
      </c>
      <c r="D719" s="55">
        <v>1</v>
      </c>
      <c r="E719" s="56">
        <v>6171</v>
      </c>
      <c r="F719" s="95" t="s">
        <v>1002</v>
      </c>
      <c r="G719" s="57" t="s">
        <v>553</v>
      </c>
      <c r="H719" s="58" t="s">
        <v>553</v>
      </c>
      <c r="I719" s="58" t="s">
        <v>553</v>
      </c>
      <c r="J719" s="58" t="s">
        <v>553</v>
      </c>
    </row>
    <row r="720" spans="1:10" ht="13.5" customHeight="1">
      <c r="A720" s="59">
        <v>6</v>
      </c>
      <c r="B720" s="92">
        <v>1</v>
      </c>
      <c r="C720" s="59">
        <v>7</v>
      </c>
      <c r="D720" s="59">
        <v>2</v>
      </c>
      <c r="E720" s="60">
        <v>6172</v>
      </c>
      <c r="F720" s="96" t="s">
        <v>1003</v>
      </c>
      <c r="G720" s="61" t="s">
        <v>553</v>
      </c>
      <c r="H720" s="62" t="s">
        <v>553</v>
      </c>
      <c r="I720" s="62" t="s">
        <v>553</v>
      </c>
      <c r="J720" s="62" t="s">
        <v>553</v>
      </c>
    </row>
    <row r="721" spans="1:10" ht="13.5" customHeight="1">
      <c r="A721" s="63">
        <v>6</v>
      </c>
      <c r="B721" s="93">
        <v>1</v>
      </c>
      <c r="C721" s="63">
        <v>7</v>
      </c>
      <c r="D721" s="63">
        <v>9</v>
      </c>
      <c r="E721" s="64">
        <v>6179</v>
      </c>
      <c r="F721" s="98" t="s">
        <v>541</v>
      </c>
      <c r="G721" s="65" t="s">
        <v>553</v>
      </c>
      <c r="H721" s="66" t="s">
        <v>553</v>
      </c>
      <c r="I721" s="66" t="s">
        <v>553</v>
      </c>
      <c r="J721" s="66" t="s">
        <v>553</v>
      </c>
    </row>
    <row r="722" spans="1:10" ht="13.5" customHeight="1">
      <c r="A722" s="52">
        <v>6</v>
      </c>
      <c r="B722" s="89">
        <v>1</v>
      </c>
      <c r="C722" s="52">
        <v>8</v>
      </c>
      <c r="D722" s="52">
        <v>0</v>
      </c>
      <c r="E722" s="52">
        <v>6180</v>
      </c>
      <c r="F722" s="97" t="s">
        <v>514</v>
      </c>
      <c r="G722" s="53" t="s">
        <v>557</v>
      </c>
      <c r="H722" s="54" t="s">
        <v>557</v>
      </c>
      <c r="I722" s="54" t="s">
        <v>557</v>
      </c>
      <c r="J722" s="54" t="s">
        <v>557</v>
      </c>
    </row>
    <row r="723" spans="1:10" ht="13.5" customHeight="1">
      <c r="A723" s="55">
        <v>6</v>
      </c>
      <c r="B723" s="91">
        <v>1</v>
      </c>
      <c r="C723" s="55">
        <v>8</v>
      </c>
      <c r="D723" s="55">
        <v>1</v>
      </c>
      <c r="E723" s="56">
        <v>6181</v>
      </c>
      <c r="F723" s="95" t="s">
        <v>1004</v>
      </c>
      <c r="G723" s="57" t="s">
        <v>553</v>
      </c>
      <c r="H723" s="58" t="s">
        <v>553</v>
      </c>
      <c r="I723" s="58" t="s">
        <v>553</v>
      </c>
      <c r="J723" s="58" t="s">
        <v>553</v>
      </c>
    </row>
    <row r="724" spans="1:10" ht="13.5" customHeight="1">
      <c r="A724" s="59">
        <v>6</v>
      </c>
      <c r="B724" s="92">
        <v>1</v>
      </c>
      <c r="C724" s="59">
        <v>8</v>
      </c>
      <c r="D724" s="59">
        <v>2</v>
      </c>
      <c r="E724" s="60">
        <v>6182</v>
      </c>
      <c r="F724" s="96" t="s">
        <v>1005</v>
      </c>
      <c r="G724" s="61" t="s">
        <v>553</v>
      </c>
      <c r="H724" s="62" t="s">
        <v>553</v>
      </c>
      <c r="I724" s="62" t="s">
        <v>553</v>
      </c>
      <c r="J724" s="62" t="s">
        <v>553</v>
      </c>
    </row>
    <row r="725" spans="1:10" ht="13.5" customHeight="1">
      <c r="A725" s="59">
        <v>6</v>
      </c>
      <c r="B725" s="92">
        <v>1</v>
      </c>
      <c r="C725" s="59">
        <v>8</v>
      </c>
      <c r="D725" s="59">
        <v>3</v>
      </c>
      <c r="E725" s="60">
        <v>6183</v>
      </c>
      <c r="F725" s="96" t="s">
        <v>1006</v>
      </c>
      <c r="G725" s="61" t="s">
        <v>553</v>
      </c>
      <c r="H725" s="62" t="s">
        <v>553</v>
      </c>
      <c r="I725" s="62" t="s">
        <v>553</v>
      </c>
      <c r="J725" s="62" t="s">
        <v>553</v>
      </c>
    </row>
    <row r="726" spans="1:10" ht="13.5" customHeight="1">
      <c r="A726" s="59">
        <v>6</v>
      </c>
      <c r="B726" s="92">
        <v>1</v>
      </c>
      <c r="C726" s="59">
        <v>8</v>
      </c>
      <c r="D726" s="59">
        <v>4</v>
      </c>
      <c r="E726" s="60">
        <v>6184</v>
      </c>
      <c r="F726" s="96" t="s">
        <v>1007</v>
      </c>
      <c r="G726" s="61" t="s">
        <v>553</v>
      </c>
      <c r="H726" s="62" t="s">
        <v>553</v>
      </c>
      <c r="I726" s="62" t="s">
        <v>553</v>
      </c>
      <c r="J726" s="62" t="s">
        <v>553</v>
      </c>
    </row>
    <row r="727" spans="1:10" ht="13.5" customHeight="1">
      <c r="A727" s="59">
        <v>6</v>
      </c>
      <c r="B727" s="92">
        <v>1</v>
      </c>
      <c r="C727" s="59">
        <v>8</v>
      </c>
      <c r="D727" s="59">
        <v>5</v>
      </c>
      <c r="E727" s="60">
        <v>6185</v>
      </c>
      <c r="F727" s="96" t="s">
        <v>1008</v>
      </c>
      <c r="G727" s="61" t="s">
        <v>553</v>
      </c>
      <c r="H727" s="62" t="s">
        <v>553</v>
      </c>
      <c r="I727" s="62" t="s">
        <v>553</v>
      </c>
      <c r="J727" s="62" t="s">
        <v>553</v>
      </c>
    </row>
    <row r="728" spans="1:10" ht="13.5" customHeight="1">
      <c r="A728" s="59">
        <v>6</v>
      </c>
      <c r="B728" s="92">
        <v>1</v>
      </c>
      <c r="C728" s="59">
        <v>8</v>
      </c>
      <c r="D728" s="59">
        <v>6</v>
      </c>
      <c r="E728" s="60">
        <v>6186</v>
      </c>
      <c r="F728" s="96" t="s">
        <v>1009</v>
      </c>
      <c r="G728" s="61" t="s">
        <v>553</v>
      </c>
      <c r="H728" s="62" t="s">
        <v>553</v>
      </c>
      <c r="I728" s="62" t="s">
        <v>553</v>
      </c>
      <c r="J728" s="62" t="s">
        <v>553</v>
      </c>
    </row>
    <row r="729" spans="1:10" ht="13.5" customHeight="1">
      <c r="A729" s="59">
        <v>6</v>
      </c>
      <c r="B729" s="92">
        <v>1</v>
      </c>
      <c r="C729" s="59">
        <v>8</v>
      </c>
      <c r="D729" s="59">
        <v>7</v>
      </c>
      <c r="E729" s="60">
        <v>6187</v>
      </c>
      <c r="F729" s="96" t="s">
        <v>1010</v>
      </c>
      <c r="G729" s="61" t="s">
        <v>553</v>
      </c>
      <c r="H729" s="62" t="s">
        <v>553</v>
      </c>
      <c r="I729" s="62" t="s">
        <v>553</v>
      </c>
      <c r="J729" s="62" t="s">
        <v>553</v>
      </c>
    </row>
    <row r="730" spans="1:10" ht="13.5" customHeight="1">
      <c r="A730" s="59">
        <v>6</v>
      </c>
      <c r="B730" s="92">
        <v>1</v>
      </c>
      <c r="C730" s="59">
        <v>8</v>
      </c>
      <c r="D730" s="59">
        <v>8</v>
      </c>
      <c r="E730" s="60">
        <v>6188</v>
      </c>
      <c r="F730" s="96" t="s">
        <v>1011</v>
      </c>
      <c r="G730" s="61" t="s">
        <v>553</v>
      </c>
      <c r="H730" s="62" t="s">
        <v>553</v>
      </c>
      <c r="I730" s="62" t="s">
        <v>553</v>
      </c>
      <c r="J730" s="62" t="s">
        <v>553</v>
      </c>
    </row>
    <row r="731" spans="1:10" ht="13.5" customHeight="1">
      <c r="A731" s="63">
        <v>6</v>
      </c>
      <c r="B731" s="93">
        <v>1</v>
      </c>
      <c r="C731" s="63">
        <v>8</v>
      </c>
      <c r="D731" s="63">
        <v>9</v>
      </c>
      <c r="E731" s="64">
        <v>6189</v>
      </c>
      <c r="F731" s="98" t="s">
        <v>541</v>
      </c>
      <c r="G731" s="65" t="s">
        <v>557</v>
      </c>
      <c r="H731" s="66" t="s">
        <v>557</v>
      </c>
      <c r="I731" s="66" t="s">
        <v>557</v>
      </c>
      <c r="J731" s="66" t="s">
        <v>557</v>
      </c>
    </row>
    <row r="732" spans="1:10" ht="13.5" customHeight="1">
      <c r="A732" s="52">
        <v>6</v>
      </c>
      <c r="B732" s="89">
        <v>1</v>
      </c>
      <c r="C732" s="52">
        <v>9</v>
      </c>
      <c r="D732" s="52">
        <v>0</v>
      </c>
      <c r="E732" s="52">
        <v>6190</v>
      </c>
      <c r="F732" s="97" t="s">
        <v>1012</v>
      </c>
      <c r="G732" s="53" t="s">
        <v>1013</v>
      </c>
      <c r="H732" s="54" t="s">
        <v>1013</v>
      </c>
      <c r="I732" s="54" t="s">
        <v>1013</v>
      </c>
      <c r="J732" s="54" t="s">
        <v>1013</v>
      </c>
    </row>
    <row r="733" spans="1:10" ht="13.5" customHeight="1">
      <c r="A733" s="46">
        <v>6</v>
      </c>
      <c r="B733" s="90">
        <v>2</v>
      </c>
      <c r="C733" s="46">
        <v>0</v>
      </c>
      <c r="D733" s="46">
        <v>0</v>
      </c>
      <c r="E733" s="46">
        <v>6200</v>
      </c>
      <c r="F733" s="99" t="s">
        <v>1014</v>
      </c>
      <c r="G733" s="48" t="s">
        <v>1015</v>
      </c>
      <c r="H733" s="49" t="s">
        <v>1015</v>
      </c>
      <c r="I733" s="49" t="s">
        <v>1015</v>
      </c>
      <c r="J733" s="49" t="s">
        <v>1015</v>
      </c>
    </row>
    <row r="734" spans="1:10" ht="13.5" customHeight="1">
      <c r="A734" s="52">
        <v>6</v>
      </c>
      <c r="B734" s="89">
        <v>2</v>
      </c>
      <c r="C734" s="52">
        <v>1</v>
      </c>
      <c r="D734" s="52">
        <v>0</v>
      </c>
      <c r="E734" s="52">
        <v>6210</v>
      </c>
      <c r="F734" s="97" t="s">
        <v>1016</v>
      </c>
      <c r="G734" s="53" t="s">
        <v>1017</v>
      </c>
      <c r="H734" s="54" t="s">
        <v>1017</v>
      </c>
      <c r="I734" s="54" t="s">
        <v>1017</v>
      </c>
      <c r="J734" s="54" t="s">
        <v>1017</v>
      </c>
    </row>
    <row r="735" spans="1:10" ht="13.5" customHeight="1">
      <c r="A735" s="55">
        <v>6</v>
      </c>
      <c r="B735" s="91">
        <v>2</v>
      </c>
      <c r="C735" s="55">
        <v>1</v>
      </c>
      <c r="D735" s="55">
        <v>1</v>
      </c>
      <c r="E735" s="56">
        <v>6211</v>
      </c>
      <c r="F735" s="95" t="s">
        <v>1018</v>
      </c>
      <c r="G735" s="57" t="s">
        <v>1017</v>
      </c>
      <c r="H735" s="58" t="s">
        <v>1017</v>
      </c>
      <c r="I735" s="58" t="s">
        <v>1017</v>
      </c>
      <c r="J735" s="58" t="s">
        <v>1017</v>
      </c>
    </row>
    <row r="736" spans="1:10" ht="13.5" customHeight="1">
      <c r="A736" s="59">
        <v>6</v>
      </c>
      <c r="B736" s="92">
        <v>2</v>
      </c>
      <c r="C736" s="59">
        <v>1</v>
      </c>
      <c r="D736" s="59">
        <v>2</v>
      </c>
      <c r="E736" s="60">
        <v>6212</v>
      </c>
      <c r="F736" s="96" t="s">
        <v>1019</v>
      </c>
      <c r="G736" s="61" t="s">
        <v>1017</v>
      </c>
      <c r="H736" s="62" t="s">
        <v>1017</v>
      </c>
      <c r="I736" s="62" t="s">
        <v>1017</v>
      </c>
      <c r="J736" s="62" t="s">
        <v>1017</v>
      </c>
    </row>
    <row r="737" spans="1:10" ht="13.5" customHeight="1">
      <c r="A737" s="59">
        <v>6</v>
      </c>
      <c r="B737" s="92">
        <v>2</v>
      </c>
      <c r="C737" s="59">
        <v>1</v>
      </c>
      <c r="D737" s="59">
        <v>3</v>
      </c>
      <c r="E737" s="60">
        <v>6213</v>
      </c>
      <c r="F737" s="96" t="s">
        <v>1020</v>
      </c>
      <c r="G737" s="61" t="s">
        <v>1017</v>
      </c>
      <c r="H737" s="62" t="s">
        <v>1017</v>
      </c>
      <c r="I737" s="62" t="s">
        <v>1017</v>
      </c>
      <c r="J737" s="62" t="s">
        <v>1017</v>
      </c>
    </row>
    <row r="738" spans="1:10" ht="13.5" customHeight="1">
      <c r="A738" s="59">
        <v>6</v>
      </c>
      <c r="B738" s="92">
        <v>2</v>
      </c>
      <c r="C738" s="59">
        <v>1</v>
      </c>
      <c r="D738" s="59">
        <v>4</v>
      </c>
      <c r="E738" s="60">
        <v>6214</v>
      </c>
      <c r="F738" s="96" t="s">
        <v>1021</v>
      </c>
      <c r="G738" s="61" t="s">
        <v>1017</v>
      </c>
      <c r="H738" s="62" t="s">
        <v>1017</v>
      </c>
      <c r="I738" s="62" t="s">
        <v>1017</v>
      </c>
      <c r="J738" s="62" t="s">
        <v>1017</v>
      </c>
    </row>
    <row r="739" spans="1:10" ht="13.5" customHeight="1">
      <c r="A739" s="59">
        <v>6</v>
      </c>
      <c r="B739" s="92">
        <v>2</v>
      </c>
      <c r="C739" s="59">
        <v>1</v>
      </c>
      <c r="D739" s="59">
        <v>5</v>
      </c>
      <c r="E739" s="60">
        <v>6215</v>
      </c>
      <c r="F739" s="96" t="s">
        <v>1022</v>
      </c>
      <c r="G739" s="61" t="s">
        <v>1017</v>
      </c>
      <c r="H739" s="62" t="s">
        <v>1017</v>
      </c>
      <c r="I739" s="62" t="s">
        <v>1017</v>
      </c>
      <c r="J739" s="62" t="s">
        <v>1017</v>
      </c>
    </row>
    <row r="740" spans="1:10" ht="13.5" customHeight="1">
      <c r="A740" s="59">
        <v>6</v>
      </c>
      <c r="B740" s="92">
        <v>2</v>
      </c>
      <c r="C740" s="59">
        <v>1</v>
      </c>
      <c r="D740" s="59">
        <v>6</v>
      </c>
      <c r="E740" s="60">
        <v>6216</v>
      </c>
      <c r="F740" s="96" t="s">
        <v>1023</v>
      </c>
      <c r="G740" s="61" t="s">
        <v>1017</v>
      </c>
      <c r="H740" s="62" t="s">
        <v>1017</v>
      </c>
      <c r="I740" s="62" t="s">
        <v>1017</v>
      </c>
      <c r="J740" s="62" t="s">
        <v>1017</v>
      </c>
    </row>
    <row r="741" spans="1:10" ht="13.5" customHeight="1">
      <c r="A741" s="59">
        <v>6</v>
      </c>
      <c r="B741" s="92">
        <v>2</v>
      </c>
      <c r="C741" s="59">
        <v>1</v>
      </c>
      <c r="D741" s="59">
        <v>7</v>
      </c>
      <c r="E741" s="60">
        <v>6217</v>
      </c>
      <c r="F741" s="96" t="s">
        <v>1024</v>
      </c>
      <c r="G741" s="61" t="s">
        <v>1017</v>
      </c>
      <c r="H741" s="62" t="s">
        <v>1017</v>
      </c>
      <c r="I741" s="62" t="s">
        <v>1017</v>
      </c>
      <c r="J741" s="62" t="s">
        <v>1017</v>
      </c>
    </row>
    <row r="742" spans="1:10" ht="13.5" customHeight="1">
      <c r="A742" s="59">
        <v>6</v>
      </c>
      <c r="B742" s="92">
        <v>2</v>
      </c>
      <c r="C742" s="59">
        <v>1</v>
      </c>
      <c r="D742" s="59">
        <v>8</v>
      </c>
      <c r="E742" s="60">
        <v>6218</v>
      </c>
      <c r="F742" s="96" t="s">
        <v>1025</v>
      </c>
      <c r="G742" s="61" t="s">
        <v>1017</v>
      </c>
      <c r="H742" s="62" t="s">
        <v>1017</v>
      </c>
      <c r="I742" s="62" t="s">
        <v>1017</v>
      </c>
      <c r="J742" s="62" t="s">
        <v>1017</v>
      </c>
    </row>
    <row r="743" spans="1:10" ht="13.5" customHeight="1">
      <c r="A743" s="63">
        <v>6</v>
      </c>
      <c r="B743" s="93">
        <v>2</v>
      </c>
      <c r="C743" s="63">
        <v>1</v>
      </c>
      <c r="D743" s="63">
        <v>9</v>
      </c>
      <c r="E743" s="64">
        <v>6219</v>
      </c>
      <c r="F743" s="98" t="s">
        <v>541</v>
      </c>
      <c r="G743" s="65" t="s">
        <v>1017</v>
      </c>
      <c r="H743" s="66" t="s">
        <v>1017</v>
      </c>
      <c r="I743" s="66" t="s">
        <v>1017</v>
      </c>
      <c r="J743" s="66" t="s">
        <v>1017</v>
      </c>
    </row>
    <row r="744" spans="1:10" ht="13.5" customHeight="1">
      <c r="A744" s="52">
        <v>6</v>
      </c>
      <c r="B744" s="89">
        <v>2</v>
      </c>
      <c r="C744" s="52">
        <v>3</v>
      </c>
      <c r="D744" s="52">
        <v>0</v>
      </c>
      <c r="E744" s="52">
        <v>6230</v>
      </c>
      <c r="F744" s="97" t="s">
        <v>506</v>
      </c>
      <c r="G744" s="53" t="s">
        <v>555</v>
      </c>
      <c r="H744" s="54" t="s">
        <v>555</v>
      </c>
      <c r="I744" s="54" t="s">
        <v>555</v>
      </c>
      <c r="J744" s="54" t="s">
        <v>555</v>
      </c>
    </row>
    <row r="745" spans="1:10" ht="13.5" customHeight="1">
      <c r="A745" s="55">
        <v>6</v>
      </c>
      <c r="B745" s="91">
        <v>2</v>
      </c>
      <c r="C745" s="55">
        <v>3</v>
      </c>
      <c r="D745" s="55">
        <v>1</v>
      </c>
      <c r="E745" s="56">
        <v>6231</v>
      </c>
      <c r="F745" s="95" t="s">
        <v>507</v>
      </c>
      <c r="G745" s="57" t="s">
        <v>555</v>
      </c>
      <c r="H745" s="58" t="s">
        <v>555</v>
      </c>
      <c r="I745" s="58" t="s">
        <v>555</v>
      </c>
      <c r="J745" s="58" t="s">
        <v>555</v>
      </c>
    </row>
    <row r="746" spans="1:10" ht="13.5" customHeight="1">
      <c r="A746" s="59">
        <v>6</v>
      </c>
      <c r="B746" s="92">
        <v>2</v>
      </c>
      <c r="C746" s="59">
        <v>3</v>
      </c>
      <c r="D746" s="59">
        <v>2</v>
      </c>
      <c r="E746" s="60">
        <v>6232</v>
      </c>
      <c r="F746" s="96" t="s">
        <v>508</v>
      </c>
      <c r="G746" s="61" t="s">
        <v>555</v>
      </c>
      <c r="H746" s="62" t="s">
        <v>555</v>
      </c>
      <c r="I746" s="62" t="s">
        <v>555</v>
      </c>
      <c r="J746" s="62" t="s">
        <v>555</v>
      </c>
    </row>
    <row r="747" spans="1:10" ht="13.5" customHeight="1">
      <c r="A747" s="59">
        <v>6</v>
      </c>
      <c r="B747" s="93">
        <v>2</v>
      </c>
      <c r="C747" s="59">
        <v>3</v>
      </c>
      <c r="D747" s="59">
        <v>3</v>
      </c>
      <c r="E747" s="60">
        <v>6233</v>
      </c>
      <c r="F747" s="96" t="s">
        <v>509</v>
      </c>
      <c r="G747" s="61" t="s">
        <v>555</v>
      </c>
      <c r="H747" s="62" t="s">
        <v>555</v>
      </c>
      <c r="I747" s="62" t="s">
        <v>555</v>
      </c>
      <c r="J747" s="62" t="s">
        <v>555</v>
      </c>
    </row>
    <row r="748" spans="1:10" ht="13.5" customHeight="1">
      <c r="A748" s="52">
        <v>6</v>
      </c>
      <c r="B748" s="89">
        <v>2</v>
      </c>
      <c r="C748" s="52">
        <v>4</v>
      </c>
      <c r="D748" s="52">
        <v>0</v>
      </c>
      <c r="E748" s="52">
        <v>6240</v>
      </c>
      <c r="F748" s="97" t="s">
        <v>1026</v>
      </c>
      <c r="G748" s="53" t="s">
        <v>555</v>
      </c>
      <c r="H748" s="54" t="s">
        <v>555</v>
      </c>
      <c r="I748" s="54" t="s">
        <v>555</v>
      </c>
      <c r="J748" s="54" t="s">
        <v>555</v>
      </c>
    </row>
    <row r="749" spans="1:10" ht="13.5" customHeight="1">
      <c r="A749" s="55">
        <v>6</v>
      </c>
      <c r="B749" s="91">
        <v>2</v>
      </c>
      <c r="C749" s="55">
        <v>4</v>
      </c>
      <c r="D749" s="55">
        <v>1</v>
      </c>
      <c r="E749" s="56">
        <v>6241</v>
      </c>
      <c r="F749" s="95" t="s">
        <v>1027</v>
      </c>
      <c r="G749" s="57" t="s">
        <v>555</v>
      </c>
      <c r="H749" s="58" t="s">
        <v>555</v>
      </c>
      <c r="I749" s="58" t="s">
        <v>555</v>
      </c>
      <c r="J749" s="58" t="s">
        <v>555</v>
      </c>
    </row>
    <row r="750" spans="1:10" ht="13.5" customHeight="1">
      <c r="A750" s="59">
        <v>6</v>
      </c>
      <c r="B750" s="92">
        <v>2</v>
      </c>
      <c r="C750" s="59">
        <v>4</v>
      </c>
      <c r="D750" s="59">
        <v>2</v>
      </c>
      <c r="E750" s="60">
        <v>6242</v>
      </c>
      <c r="F750" s="96" t="s">
        <v>1028</v>
      </c>
      <c r="G750" s="61" t="s">
        <v>555</v>
      </c>
      <c r="H750" s="62" t="s">
        <v>555</v>
      </c>
      <c r="I750" s="62" t="s">
        <v>555</v>
      </c>
      <c r="J750" s="62" t="s">
        <v>555</v>
      </c>
    </row>
    <row r="751" spans="1:10" ht="13.5" customHeight="1">
      <c r="A751" s="59">
        <v>6</v>
      </c>
      <c r="B751" s="93">
        <v>2</v>
      </c>
      <c r="C751" s="59">
        <v>4</v>
      </c>
      <c r="D751" s="59">
        <v>3</v>
      </c>
      <c r="E751" s="60">
        <v>6243</v>
      </c>
      <c r="F751" s="96" t="s">
        <v>1029</v>
      </c>
      <c r="G751" s="61" t="s">
        <v>555</v>
      </c>
      <c r="H751" s="62" t="s">
        <v>555</v>
      </c>
      <c r="I751" s="62" t="s">
        <v>555</v>
      </c>
      <c r="J751" s="62" t="s">
        <v>555</v>
      </c>
    </row>
    <row r="752" spans="1:10" ht="13.5" customHeight="1">
      <c r="A752" s="52">
        <v>6</v>
      </c>
      <c r="B752" s="89">
        <v>2</v>
      </c>
      <c r="C752" s="52">
        <v>5</v>
      </c>
      <c r="D752" s="52">
        <v>0</v>
      </c>
      <c r="E752" s="52">
        <v>6250</v>
      </c>
      <c r="F752" s="97" t="s">
        <v>1030</v>
      </c>
      <c r="G752" s="53" t="s">
        <v>555</v>
      </c>
      <c r="H752" s="54" t="s">
        <v>555</v>
      </c>
      <c r="I752" s="54" t="s">
        <v>555</v>
      </c>
      <c r="J752" s="54" t="s">
        <v>555</v>
      </c>
    </row>
    <row r="753" spans="1:10" ht="13.5" customHeight="1">
      <c r="A753" s="55">
        <v>6</v>
      </c>
      <c r="B753" s="91">
        <v>2</v>
      </c>
      <c r="C753" s="55">
        <v>5</v>
      </c>
      <c r="D753" s="55">
        <v>1</v>
      </c>
      <c r="E753" s="56">
        <v>6251</v>
      </c>
      <c r="F753" s="95" t="s">
        <v>1031</v>
      </c>
      <c r="G753" s="57" t="s">
        <v>555</v>
      </c>
      <c r="H753" s="58" t="s">
        <v>555</v>
      </c>
      <c r="I753" s="58" t="s">
        <v>555</v>
      </c>
      <c r="J753" s="58" t="s">
        <v>555</v>
      </c>
    </row>
    <row r="754" spans="1:10" ht="13.5" customHeight="1">
      <c r="A754" s="59">
        <v>6</v>
      </c>
      <c r="B754" s="92">
        <v>2</v>
      </c>
      <c r="C754" s="59">
        <v>5</v>
      </c>
      <c r="D754" s="59">
        <v>2</v>
      </c>
      <c r="E754" s="60">
        <v>6252</v>
      </c>
      <c r="F754" s="96" t="s">
        <v>1032</v>
      </c>
      <c r="G754" s="61" t="s">
        <v>555</v>
      </c>
      <c r="H754" s="62" t="s">
        <v>555</v>
      </c>
      <c r="I754" s="62" t="s">
        <v>555</v>
      </c>
      <c r="J754" s="62" t="s">
        <v>555</v>
      </c>
    </row>
    <row r="755" spans="1:10" ht="13.5" customHeight="1">
      <c r="A755" s="59">
        <v>6</v>
      </c>
      <c r="B755" s="92">
        <v>2</v>
      </c>
      <c r="C755" s="59">
        <v>5</v>
      </c>
      <c r="D755" s="59">
        <v>3</v>
      </c>
      <c r="E755" s="60">
        <v>6253</v>
      </c>
      <c r="F755" s="96" t="s">
        <v>1033</v>
      </c>
      <c r="G755" s="61" t="s">
        <v>555</v>
      </c>
      <c r="H755" s="62" t="s">
        <v>555</v>
      </c>
      <c r="I755" s="62" t="s">
        <v>555</v>
      </c>
      <c r="J755" s="62" t="s">
        <v>555</v>
      </c>
    </row>
    <row r="756" spans="1:10" ht="13.5" customHeight="1">
      <c r="A756" s="59">
        <v>6</v>
      </c>
      <c r="B756" s="92">
        <v>2</v>
      </c>
      <c r="C756" s="59">
        <v>5</v>
      </c>
      <c r="D756" s="59">
        <v>4</v>
      </c>
      <c r="E756" s="60">
        <v>6254</v>
      </c>
      <c r="F756" s="96" t="s">
        <v>1034</v>
      </c>
      <c r="G756" s="61" t="s">
        <v>555</v>
      </c>
      <c r="H756" s="62" t="s">
        <v>555</v>
      </c>
      <c r="I756" s="62" t="s">
        <v>555</v>
      </c>
      <c r="J756" s="62" t="s">
        <v>555</v>
      </c>
    </row>
    <row r="757" spans="1:10" ht="13.5" customHeight="1">
      <c r="A757" s="59">
        <v>6</v>
      </c>
      <c r="B757" s="92">
        <v>2</v>
      </c>
      <c r="C757" s="59">
        <v>5</v>
      </c>
      <c r="D757" s="59">
        <v>5</v>
      </c>
      <c r="E757" s="60">
        <v>6255</v>
      </c>
      <c r="F757" s="96" t="s">
        <v>1035</v>
      </c>
      <c r="G757" s="61" t="s">
        <v>555</v>
      </c>
      <c r="H757" s="62" t="s">
        <v>555</v>
      </c>
      <c r="I757" s="62" t="s">
        <v>555</v>
      </c>
      <c r="J757" s="62" t="s">
        <v>555</v>
      </c>
    </row>
    <row r="758" spans="1:10" ht="13.5" customHeight="1">
      <c r="A758" s="59">
        <v>6</v>
      </c>
      <c r="B758" s="92">
        <v>2</v>
      </c>
      <c r="C758" s="59">
        <v>5</v>
      </c>
      <c r="D758" s="59">
        <v>6</v>
      </c>
      <c r="E758" s="60">
        <v>6256</v>
      </c>
      <c r="F758" s="96" t="s">
        <v>1036</v>
      </c>
      <c r="G758" s="61" t="s">
        <v>555</v>
      </c>
      <c r="H758" s="62" t="s">
        <v>555</v>
      </c>
      <c r="I758" s="62" t="s">
        <v>555</v>
      </c>
      <c r="J758" s="62" t="s">
        <v>555</v>
      </c>
    </row>
    <row r="759" spans="1:10" ht="13.5" customHeight="1">
      <c r="A759" s="59">
        <v>6</v>
      </c>
      <c r="B759" s="93">
        <v>2</v>
      </c>
      <c r="C759" s="59">
        <v>5</v>
      </c>
      <c r="D759" s="59">
        <v>7</v>
      </c>
      <c r="E759" s="60">
        <v>6257</v>
      </c>
      <c r="F759" s="96" t="s">
        <v>1037</v>
      </c>
      <c r="G759" s="61" t="s">
        <v>555</v>
      </c>
      <c r="H759" s="62" t="s">
        <v>555</v>
      </c>
      <c r="I759" s="62" t="s">
        <v>555</v>
      </c>
      <c r="J759" s="62" t="s">
        <v>555</v>
      </c>
    </row>
    <row r="760" spans="1:10" ht="13.5" customHeight="1">
      <c r="A760" s="52">
        <v>6</v>
      </c>
      <c r="B760" s="89">
        <v>2</v>
      </c>
      <c r="C760" s="52">
        <v>6</v>
      </c>
      <c r="D760" s="52">
        <v>0</v>
      </c>
      <c r="E760" s="52">
        <v>6260</v>
      </c>
      <c r="F760" s="97" t="s">
        <v>1038</v>
      </c>
      <c r="G760" s="53" t="s">
        <v>555</v>
      </c>
      <c r="H760" s="54" t="s">
        <v>555</v>
      </c>
      <c r="I760" s="54" t="s">
        <v>555</v>
      </c>
      <c r="J760" s="54" t="s">
        <v>555</v>
      </c>
    </row>
    <row r="761" spans="1:10" ht="13.5" customHeight="1">
      <c r="A761" s="55">
        <v>6</v>
      </c>
      <c r="B761" s="91">
        <v>2</v>
      </c>
      <c r="C761" s="55">
        <v>6</v>
      </c>
      <c r="D761" s="55">
        <v>1</v>
      </c>
      <c r="E761" s="56">
        <v>6261</v>
      </c>
      <c r="F761" s="95" t="s">
        <v>1018</v>
      </c>
      <c r="G761" s="57" t="s">
        <v>555</v>
      </c>
      <c r="H761" s="58" t="s">
        <v>555</v>
      </c>
      <c r="I761" s="58" t="s">
        <v>555</v>
      </c>
      <c r="J761" s="58" t="s">
        <v>555</v>
      </c>
    </row>
    <row r="762" spans="1:10" ht="13.5" customHeight="1">
      <c r="A762" s="59">
        <v>6</v>
      </c>
      <c r="B762" s="92">
        <v>2</v>
      </c>
      <c r="C762" s="59">
        <v>6</v>
      </c>
      <c r="D762" s="59">
        <v>2</v>
      </c>
      <c r="E762" s="60">
        <v>6262</v>
      </c>
      <c r="F762" s="96" t="s">
        <v>1039</v>
      </c>
      <c r="G762" s="61" t="s">
        <v>555</v>
      </c>
      <c r="H762" s="62" t="s">
        <v>555</v>
      </c>
      <c r="I762" s="62" t="s">
        <v>555</v>
      </c>
      <c r="J762" s="62" t="s">
        <v>555</v>
      </c>
    </row>
    <row r="763" spans="1:10" ht="13.5" customHeight="1">
      <c r="A763" s="59">
        <v>6</v>
      </c>
      <c r="B763" s="92">
        <v>2</v>
      </c>
      <c r="C763" s="59">
        <v>6</v>
      </c>
      <c r="D763" s="59">
        <v>3</v>
      </c>
      <c r="E763" s="60">
        <v>6263</v>
      </c>
      <c r="F763" s="96" t="s">
        <v>1040</v>
      </c>
      <c r="G763" s="61" t="s">
        <v>555</v>
      </c>
      <c r="H763" s="62" t="s">
        <v>555</v>
      </c>
      <c r="I763" s="62" t="s">
        <v>555</v>
      </c>
      <c r="J763" s="62" t="s">
        <v>555</v>
      </c>
    </row>
    <row r="764" spans="1:10" ht="13.5" customHeight="1">
      <c r="A764" s="59">
        <v>6</v>
      </c>
      <c r="B764" s="92">
        <v>2</v>
      </c>
      <c r="C764" s="59">
        <v>6</v>
      </c>
      <c r="D764" s="59">
        <v>4</v>
      </c>
      <c r="E764" s="60">
        <v>6264</v>
      </c>
      <c r="F764" s="96" t="s">
        <v>1041</v>
      </c>
      <c r="G764" s="61" t="s">
        <v>555</v>
      </c>
      <c r="H764" s="62" t="s">
        <v>555</v>
      </c>
      <c r="I764" s="62" t="s">
        <v>555</v>
      </c>
      <c r="J764" s="62" t="s">
        <v>555</v>
      </c>
    </row>
    <row r="765" spans="1:10" ht="13.5" customHeight="1">
      <c r="A765" s="59">
        <v>6</v>
      </c>
      <c r="B765" s="92">
        <v>2</v>
      </c>
      <c r="C765" s="59">
        <v>6</v>
      </c>
      <c r="D765" s="59">
        <v>5</v>
      </c>
      <c r="E765" s="60">
        <v>6265</v>
      </c>
      <c r="F765" s="96" t="s">
        <v>1042</v>
      </c>
      <c r="G765" s="61" t="s">
        <v>555</v>
      </c>
      <c r="H765" s="62" t="s">
        <v>555</v>
      </c>
      <c r="I765" s="62" t="s">
        <v>555</v>
      </c>
      <c r="J765" s="62" t="s">
        <v>555</v>
      </c>
    </row>
    <row r="766" spans="1:10" ht="13.5" customHeight="1">
      <c r="A766" s="59">
        <v>6</v>
      </c>
      <c r="B766" s="92">
        <v>2</v>
      </c>
      <c r="C766" s="59">
        <v>6</v>
      </c>
      <c r="D766" s="59">
        <v>6</v>
      </c>
      <c r="E766" s="60">
        <v>6266</v>
      </c>
      <c r="F766" s="96" t="s">
        <v>1043</v>
      </c>
      <c r="G766" s="61" t="s">
        <v>555</v>
      </c>
      <c r="H766" s="62" t="s">
        <v>555</v>
      </c>
      <c r="I766" s="62" t="s">
        <v>555</v>
      </c>
      <c r="J766" s="62" t="s">
        <v>555</v>
      </c>
    </row>
    <row r="767" spans="1:10" ht="13.5" customHeight="1">
      <c r="A767" s="59">
        <v>6</v>
      </c>
      <c r="B767" s="92">
        <v>2</v>
      </c>
      <c r="C767" s="59">
        <v>6</v>
      </c>
      <c r="D767" s="59">
        <v>7</v>
      </c>
      <c r="E767" s="60">
        <v>6267</v>
      </c>
      <c r="F767" s="96" t="s">
        <v>1044</v>
      </c>
      <c r="G767" s="61" t="s">
        <v>555</v>
      </c>
      <c r="H767" s="62" t="s">
        <v>555</v>
      </c>
      <c r="I767" s="62" t="s">
        <v>555</v>
      </c>
      <c r="J767" s="62" t="s">
        <v>555</v>
      </c>
    </row>
    <row r="768" spans="1:10" ht="13.5" customHeight="1">
      <c r="A768" s="59">
        <v>6</v>
      </c>
      <c r="B768" s="92">
        <v>2</v>
      </c>
      <c r="C768" s="59">
        <v>6</v>
      </c>
      <c r="D768" s="59">
        <v>8</v>
      </c>
      <c r="E768" s="60">
        <v>6268</v>
      </c>
      <c r="F768" s="96" t="s">
        <v>1045</v>
      </c>
      <c r="G768" s="61" t="s">
        <v>555</v>
      </c>
      <c r="H768" s="62" t="s">
        <v>555</v>
      </c>
      <c r="I768" s="62" t="s">
        <v>555</v>
      </c>
      <c r="J768" s="62" t="s">
        <v>555</v>
      </c>
    </row>
    <row r="769" spans="1:10" ht="13.5" customHeight="1">
      <c r="A769" s="63">
        <v>6</v>
      </c>
      <c r="B769" s="93">
        <v>2</v>
      </c>
      <c r="C769" s="63">
        <v>6</v>
      </c>
      <c r="D769" s="63">
        <v>9</v>
      </c>
      <c r="E769" s="64">
        <v>6269</v>
      </c>
      <c r="F769" s="98" t="s">
        <v>1046</v>
      </c>
      <c r="G769" s="65" t="s">
        <v>555</v>
      </c>
      <c r="H769" s="66" t="s">
        <v>555</v>
      </c>
      <c r="I769" s="66" t="s">
        <v>555</v>
      </c>
      <c r="J769" s="66" t="s">
        <v>555</v>
      </c>
    </row>
    <row r="770" spans="1:10" ht="13.5" customHeight="1">
      <c r="A770" s="52">
        <v>6</v>
      </c>
      <c r="B770" s="89">
        <v>2</v>
      </c>
      <c r="C770" s="52">
        <v>8</v>
      </c>
      <c r="D770" s="52">
        <v>0</v>
      </c>
      <c r="E770" s="52">
        <v>6280</v>
      </c>
      <c r="F770" s="97" t="s">
        <v>345</v>
      </c>
      <c r="G770" s="53" t="s">
        <v>555</v>
      </c>
      <c r="H770" s="54" t="s">
        <v>555</v>
      </c>
      <c r="I770" s="54" t="s">
        <v>555</v>
      </c>
      <c r="J770" s="54" t="s">
        <v>555</v>
      </c>
    </row>
    <row r="771" spans="1:10" ht="13.5" customHeight="1">
      <c r="A771" s="55">
        <v>6</v>
      </c>
      <c r="B771" s="91">
        <v>2</v>
      </c>
      <c r="C771" s="55">
        <v>8</v>
      </c>
      <c r="D771" s="55">
        <v>1</v>
      </c>
      <c r="E771" s="56">
        <v>6281</v>
      </c>
      <c r="F771" s="95" t="s">
        <v>510</v>
      </c>
      <c r="G771" s="57" t="s">
        <v>555</v>
      </c>
      <c r="H771" s="58" t="s">
        <v>555</v>
      </c>
      <c r="I771" s="58" t="s">
        <v>555</v>
      </c>
      <c r="J771" s="58" t="s">
        <v>555</v>
      </c>
    </row>
    <row r="772" spans="1:10" ht="13.5" customHeight="1">
      <c r="A772" s="59">
        <v>6</v>
      </c>
      <c r="B772" s="92">
        <v>2</v>
      </c>
      <c r="C772" s="59">
        <v>8</v>
      </c>
      <c r="D772" s="59">
        <v>2</v>
      </c>
      <c r="E772" s="60">
        <v>6282</v>
      </c>
      <c r="F772" s="96" t="s">
        <v>511</v>
      </c>
      <c r="G772" s="61" t="s">
        <v>555</v>
      </c>
      <c r="H772" s="62" t="s">
        <v>555</v>
      </c>
      <c r="I772" s="62" t="s">
        <v>555</v>
      </c>
      <c r="J772" s="62" t="s">
        <v>555</v>
      </c>
    </row>
    <row r="773" spans="1:10" ht="13.5" customHeight="1">
      <c r="A773" s="59">
        <v>6</v>
      </c>
      <c r="B773" s="92">
        <v>2</v>
      </c>
      <c r="C773" s="59">
        <v>8</v>
      </c>
      <c r="D773" s="59">
        <v>3</v>
      </c>
      <c r="E773" s="60">
        <v>6283</v>
      </c>
      <c r="F773" s="96" t="s">
        <v>512</v>
      </c>
      <c r="G773" s="61" t="s">
        <v>555</v>
      </c>
      <c r="H773" s="62" t="s">
        <v>555</v>
      </c>
      <c r="I773" s="62" t="s">
        <v>555</v>
      </c>
      <c r="J773" s="62" t="s">
        <v>555</v>
      </c>
    </row>
    <row r="774" spans="1:10" ht="13.5" customHeight="1">
      <c r="A774" s="59">
        <v>6</v>
      </c>
      <c r="B774" s="92">
        <v>2</v>
      </c>
      <c r="C774" s="59">
        <v>8</v>
      </c>
      <c r="D774" s="59">
        <v>4</v>
      </c>
      <c r="E774" s="60">
        <v>6284</v>
      </c>
      <c r="F774" s="96" t="s">
        <v>513</v>
      </c>
      <c r="G774" s="61" t="s">
        <v>555</v>
      </c>
      <c r="H774" s="62" t="s">
        <v>555</v>
      </c>
      <c r="I774" s="62" t="s">
        <v>555</v>
      </c>
      <c r="J774" s="62" t="s">
        <v>555</v>
      </c>
    </row>
    <row r="775" spans="1:10" ht="13.5" customHeight="1">
      <c r="A775" s="59">
        <v>6</v>
      </c>
      <c r="B775" s="92">
        <v>2</v>
      </c>
      <c r="C775" s="59">
        <v>8</v>
      </c>
      <c r="D775" s="59">
        <v>5</v>
      </c>
      <c r="E775" s="60">
        <v>6285</v>
      </c>
      <c r="F775" s="96" t="s">
        <v>514</v>
      </c>
      <c r="G775" s="61" t="s">
        <v>555</v>
      </c>
      <c r="H775" s="62" t="s">
        <v>555</v>
      </c>
      <c r="I775" s="62" t="s">
        <v>555</v>
      </c>
      <c r="J775" s="62" t="s">
        <v>555</v>
      </c>
    </row>
    <row r="776" spans="1:10" ht="13.5" customHeight="1">
      <c r="A776" s="59">
        <v>6</v>
      </c>
      <c r="B776" s="92">
        <v>2</v>
      </c>
      <c r="C776" s="59">
        <v>8</v>
      </c>
      <c r="D776" s="59">
        <v>6</v>
      </c>
      <c r="E776" s="60">
        <v>6286</v>
      </c>
      <c r="F776" s="96" t="s">
        <v>416</v>
      </c>
      <c r="G776" s="61" t="s">
        <v>555</v>
      </c>
      <c r="H776" s="62" t="s">
        <v>555</v>
      </c>
      <c r="I776" s="62" t="s">
        <v>555</v>
      </c>
      <c r="J776" s="62" t="s">
        <v>555</v>
      </c>
    </row>
    <row r="777" spans="1:10" ht="13.5" customHeight="1">
      <c r="A777" s="59">
        <v>6</v>
      </c>
      <c r="B777" s="92">
        <v>2</v>
      </c>
      <c r="C777" s="59">
        <v>8</v>
      </c>
      <c r="D777" s="59">
        <v>7</v>
      </c>
      <c r="E777" s="60">
        <v>6287</v>
      </c>
      <c r="F777" s="96" t="s">
        <v>515</v>
      </c>
      <c r="G777" s="61" t="s">
        <v>555</v>
      </c>
      <c r="H777" s="62" t="s">
        <v>555</v>
      </c>
      <c r="I777" s="62" t="s">
        <v>555</v>
      </c>
      <c r="J777" s="62" t="s">
        <v>555</v>
      </c>
    </row>
    <row r="778" spans="1:10" ht="13.5" customHeight="1">
      <c r="A778" s="59">
        <v>6</v>
      </c>
      <c r="B778" s="92">
        <v>2</v>
      </c>
      <c r="C778" s="59">
        <v>8</v>
      </c>
      <c r="D778" s="59">
        <v>8</v>
      </c>
      <c r="E778" s="60">
        <v>6288</v>
      </c>
      <c r="F778" s="96" t="s">
        <v>516</v>
      </c>
      <c r="G778" s="61" t="s">
        <v>555</v>
      </c>
      <c r="H778" s="62" t="s">
        <v>555</v>
      </c>
      <c r="I778" s="62" t="s">
        <v>555</v>
      </c>
      <c r="J778" s="62" t="s">
        <v>555</v>
      </c>
    </row>
    <row r="779" spans="1:10" ht="13.5" customHeight="1">
      <c r="A779" s="63">
        <v>6</v>
      </c>
      <c r="B779" s="93">
        <v>2</v>
      </c>
      <c r="C779" s="63">
        <v>8</v>
      </c>
      <c r="D779" s="63">
        <v>9</v>
      </c>
      <c r="E779" s="64">
        <v>6289</v>
      </c>
      <c r="F779" s="98" t="s">
        <v>517</v>
      </c>
      <c r="G779" s="65" t="s">
        <v>555</v>
      </c>
      <c r="H779" s="66" t="s">
        <v>555</v>
      </c>
      <c r="I779" s="66" t="s">
        <v>555</v>
      </c>
      <c r="J779" s="66" t="s">
        <v>555</v>
      </c>
    </row>
    <row r="780" spans="1:10" ht="13.5" customHeight="1">
      <c r="A780" s="52">
        <v>6</v>
      </c>
      <c r="B780" s="89">
        <v>2</v>
      </c>
      <c r="C780" s="52">
        <v>9</v>
      </c>
      <c r="D780" s="52">
        <v>0</v>
      </c>
      <c r="E780" s="52">
        <v>6290</v>
      </c>
      <c r="F780" s="97" t="s">
        <v>1047</v>
      </c>
      <c r="G780" s="53" t="s">
        <v>555</v>
      </c>
      <c r="H780" s="54" t="s">
        <v>555</v>
      </c>
      <c r="I780" s="54" t="s">
        <v>555</v>
      </c>
      <c r="J780" s="54" t="s">
        <v>555</v>
      </c>
    </row>
    <row r="781" spans="1:10" ht="13.5" customHeight="1">
      <c r="A781" s="55">
        <v>6</v>
      </c>
      <c r="B781" s="91">
        <v>2</v>
      </c>
      <c r="C781" s="55">
        <v>9</v>
      </c>
      <c r="D781" s="55">
        <v>1</v>
      </c>
      <c r="E781" s="56">
        <v>6291</v>
      </c>
      <c r="F781" s="95" t="s">
        <v>1018</v>
      </c>
      <c r="G781" s="57" t="s">
        <v>555</v>
      </c>
      <c r="H781" s="58" t="s">
        <v>555</v>
      </c>
      <c r="I781" s="58" t="s">
        <v>555</v>
      </c>
      <c r="J781" s="58" t="s">
        <v>555</v>
      </c>
    </row>
    <row r="782" spans="1:10" ht="13.5" customHeight="1">
      <c r="A782" s="59">
        <v>6</v>
      </c>
      <c r="B782" s="92">
        <v>2</v>
      </c>
      <c r="C782" s="59">
        <v>9</v>
      </c>
      <c r="D782" s="59">
        <v>2</v>
      </c>
      <c r="E782" s="60">
        <v>6292</v>
      </c>
      <c r="F782" s="96" t="s">
        <v>1048</v>
      </c>
      <c r="G782" s="61" t="s">
        <v>555</v>
      </c>
      <c r="H782" s="62" t="s">
        <v>555</v>
      </c>
      <c r="I782" s="62" t="s">
        <v>555</v>
      </c>
      <c r="J782" s="62" t="s">
        <v>555</v>
      </c>
    </row>
    <row r="783" spans="1:10" ht="13.5" customHeight="1">
      <c r="A783" s="59">
        <v>6</v>
      </c>
      <c r="B783" s="92">
        <v>2</v>
      </c>
      <c r="C783" s="59">
        <v>9</v>
      </c>
      <c r="D783" s="59">
        <v>3</v>
      </c>
      <c r="E783" s="60">
        <v>6293</v>
      </c>
      <c r="F783" s="96" t="s">
        <v>1049</v>
      </c>
      <c r="G783" s="61" t="s">
        <v>555</v>
      </c>
      <c r="H783" s="62" t="s">
        <v>555</v>
      </c>
      <c r="I783" s="62" t="s">
        <v>555</v>
      </c>
      <c r="J783" s="62" t="s">
        <v>555</v>
      </c>
    </row>
    <row r="784" spans="1:10" ht="13.5" customHeight="1">
      <c r="A784" s="59">
        <v>6</v>
      </c>
      <c r="B784" s="92">
        <v>2</v>
      </c>
      <c r="C784" s="59">
        <v>9</v>
      </c>
      <c r="D784" s="59">
        <v>4</v>
      </c>
      <c r="E784" s="60">
        <v>6294</v>
      </c>
      <c r="F784" s="96" t="s">
        <v>1050</v>
      </c>
      <c r="G784" s="80" t="s">
        <v>763</v>
      </c>
      <c r="H784" s="81" t="s">
        <v>763</v>
      </c>
      <c r="I784" s="81" t="s">
        <v>763</v>
      </c>
      <c r="J784" s="81" t="s">
        <v>763</v>
      </c>
    </row>
    <row r="785" spans="1:10" ht="13.5" customHeight="1">
      <c r="A785" s="59">
        <v>6</v>
      </c>
      <c r="B785" s="93">
        <v>2</v>
      </c>
      <c r="C785" s="59">
        <v>9</v>
      </c>
      <c r="D785" s="59">
        <v>5</v>
      </c>
      <c r="E785" s="60">
        <v>6295</v>
      </c>
      <c r="F785" s="96" t="s">
        <v>1051</v>
      </c>
      <c r="G785" s="80" t="s">
        <v>763</v>
      </c>
      <c r="H785" s="81" t="s">
        <v>763</v>
      </c>
      <c r="I785" s="81" t="s">
        <v>763</v>
      </c>
      <c r="J785" s="81" t="s">
        <v>763</v>
      </c>
    </row>
    <row r="786" spans="1:10" ht="13.5" customHeight="1">
      <c r="A786" s="46">
        <v>6</v>
      </c>
      <c r="B786" s="90">
        <v>3</v>
      </c>
      <c r="C786" s="46">
        <v>0</v>
      </c>
      <c r="D786" s="46">
        <v>0</v>
      </c>
      <c r="E786" s="46">
        <v>6300</v>
      </c>
      <c r="F786" s="99" t="s">
        <v>1052</v>
      </c>
      <c r="G786" s="48" t="s">
        <v>529</v>
      </c>
      <c r="H786" s="49" t="s">
        <v>529</v>
      </c>
      <c r="I786" s="49" t="s">
        <v>529</v>
      </c>
      <c r="J786" s="49" t="s">
        <v>529</v>
      </c>
    </row>
    <row r="787" spans="1:10" ht="13.5" customHeight="1">
      <c r="A787" s="52">
        <v>6</v>
      </c>
      <c r="B787" s="89">
        <v>3</v>
      </c>
      <c r="C787" s="52">
        <v>1</v>
      </c>
      <c r="D787" s="52">
        <v>0</v>
      </c>
      <c r="E787" s="52">
        <v>6310</v>
      </c>
      <c r="F787" s="97" t="s">
        <v>568</v>
      </c>
      <c r="G787" s="53" t="s">
        <v>529</v>
      </c>
      <c r="H787" s="54" t="s">
        <v>529</v>
      </c>
      <c r="I787" s="54" t="s">
        <v>529</v>
      </c>
      <c r="J787" s="54" t="s">
        <v>529</v>
      </c>
    </row>
    <row r="788" spans="1:10" ht="13.5" customHeight="1">
      <c r="A788" s="55">
        <v>6</v>
      </c>
      <c r="B788" s="91">
        <v>3</v>
      </c>
      <c r="C788" s="55">
        <v>1</v>
      </c>
      <c r="D788" s="55">
        <v>1</v>
      </c>
      <c r="E788" s="56">
        <v>6311</v>
      </c>
      <c r="F788" s="95" t="s">
        <v>1053</v>
      </c>
      <c r="G788" s="57" t="s">
        <v>529</v>
      </c>
      <c r="H788" s="58" t="s">
        <v>529</v>
      </c>
      <c r="I788" s="58" t="s">
        <v>529</v>
      </c>
      <c r="J788" s="58" t="s">
        <v>529</v>
      </c>
    </row>
    <row r="789" spans="1:10" ht="13.5" customHeight="1">
      <c r="A789" s="59">
        <v>6</v>
      </c>
      <c r="B789" s="92">
        <v>3</v>
      </c>
      <c r="C789" s="59">
        <v>1</v>
      </c>
      <c r="D789" s="59">
        <v>2</v>
      </c>
      <c r="E789" s="60">
        <v>6312</v>
      </c>
      <c r="F789" s="96" t="s">
        <v>1054</v>
      </c>
      <c r="G789" s="61" t="s">
        <v>529</v>
      </c>
      <c r="H789" s="62" t="s">
        <v>529</v>
      </c>
      <c r="I789" s="62" t="s">
        <v>529</v>
      </c>
      <c r="J789" s="62" t="s">
        <v>529</v>
      </c>
    </row>
    <row r="790" spans="1:10" ht="13.5" customHeight="1">
      <c r="A790" s="59">
        <v>6</v>
      </c>
      <c r="B790" s="92">
        <v>3</v>
      </c>
      <c r="C790" s="59">
        <v>1</v>
      </c>
      <c r="D790" s="59">
        <v>3</v>
      </c>
      <c r="E790" s="60">
        <v>6313</v>
      </c>
      <c r="F790" s="96" t="s">
        <v>970</v>
      </c>
      <c r="G790" s="61" t="s">
        <v>529</v>
      </c>
      <c r="H790" s="62" t="s">
        <v>529</v>
      </c>
      <c r="I790" s="62" t="s">
        <v>529</v>
      </c>
      <c r="J790" s="62" t="s">
        <v>529</v>
      </c>
    </row>
    <row r="791" spans="1:10" ht="13.5" customHeight="1">
      <c r="A791" s="59">
        <v>6</v>
      </c>
      <c r="B791" s="92">
        <v>3</v>
      </c>
      <c r="C791" s="59">
        <v>1</v>
      </c>
      <c r="D791" s="59">
        <v>4</v>
      </c>
      <c r="E791" s="60">
        <v>6314</v>
      </c>
      <c r="F791" s="96" t="s">
        <v>1055</v>
      </c>
      <c r="G791" s="61" t="s">
        <v>529</v>
      </c>
      <c r="H791" s="62" t="s">
        <v>529</v>
      </c>
      <c r="I791" s="62" t="s">
        <v>529</v>
      </c>
      <c r="J791" s="62" t="s">
        <v>529</v>
      </c>
    </row>
    <row r="792" spans="1:10" ht="13.5" customHeight="1">
      <c r="A792" s="59">
        <v>6</v>
      </c>
      <c r="B792" s="92">
        <v>3</v>
      </c>
      <c r="C792" s="59">
        <v>1</v>
      </c>
      <c r="D792" s="59">
        <v>5</v>
      </c>
      <c r="E792" s="60">
        <v>6315</v>
      </c>
      <c r="F792" s="96" t="s">
        <v>1056</v>
      </c>
      <c r="G792" s="61" t="s">
        <v>529</v>
      </c>
      <c r="H792" s="62" t="s">
        <v>529</v>
      </c>
      <c r="I792" s="62" t="s">
        <v>529</v>
      </c>
      <c r="J792" s="62" t="s">
        <v>529</v>
      </c>
    </row>
    <row r="793" spans="1:10" ht="13.5" customHeight="1">
      <c r="A793" s="59">
        <v>6</v>
      </c>
      <c r="B793" s="92">
        <v>3</v>
      </c>
      <c r="C793" s="59">
        <v>1</v>
      </c>
      <c r="D793" s="59">
        <v>6</v>
      </c>
      <c r="E793" s="60">
        <v>6316</v>
      </c>
      <c r="F793" s="96" t="s">
        <v>1057</v>
      </c>
      <c r="G793" s="61" t="s">
        <v>529</v>
      </c>
      <c r="H793" s="62" t="s">
        <v>529</v>
      </c>
      <c r="I793" s="62" t="s">
        <v>529</v>
      </c>
      <c r="J793" s="62" t="s">
        <v>529</v>
      </c>
    </row>
    <row r="794" spans="1:10" ht="13.5" customHeight="1">
      <c r="A794" s="59">
        <v>6</v>
      </c>
      <c r="B794" s="93">
        <v>3</v>
      </c>
      <c r="C794" s="59">
        <v>1</v>
      </c>
      <c r="D794" s="59">
        <v>7</v>
      </c>
      <c r="E794" s="60">
        <v>6317</v>
      </c>
      <c r="F794" s="96" t="s">
        <v>1058</v>
      </c>
      <c r="G794" s="61" t="s">
        <v>529</v>
      </c>
      <c r="H794" s="62" t="s">
        <v>529</v>
      </c>
      <c r="I794" s="62" t="s">
        <v>529</v>
      </c>
      <c r="J794" s="62" t="s">
        <v>529</v>
      </c>
    </row>
    <row r="795" spans="1:10" ht="13.5" customHeight="1">
      <c r="A795" s="52">
        <v>6</v>
      </c>
      <c r="B795" s="89">
        <v>3</v>
      </c>
      <c r="C795" s="52">
        <v>2</v>
      </c>
      <c r="D795" s="52">
        <v>0</v>
      </c>
      <c r="E795" s="52">
        <v>6320</v>
      </c>
      <c r="F795" s="97" t="s">
        <v>1059</v>
      </c>
      <c r="G795" s="53" t="s">
        <v>529</v>
      </c>
      <c r="H795" s="54" t="s">
        <v>529</v>
      </c>
      <c r="I795" s="54" t="s">
        <v>529</v>
      </c>
      <c r="J795" s="54" t="s">
        <v>529</v>
      </c>
    </row>
    <row r="796" spans="1:10" ht="13.5" customHeight="1">
      <c r="A796" s="59">
        <v>6</v>
      </c>
      <c r="B796" s="91">
        <v>3</v>
      </c>
      <c r="C796" s="59">
        <v>2</v>
      </c>
      <c r="D796" s="59">
        <v>2</v>
      </c>
      <c r="E796" s="60">
        <v>6322</v>
      </c>
      <c r="F796" s="96" t="s">
        <v>593</v>
      </c>
      <c r="G796" s="61" t="s">
        <v>529</v>
      </c>
      <c r="H796" s="62" t="s">
        <v>529</v>
      </c>
      <c r="I796" s="62" t="s">
        <v>529</v>
      </c>
      <c r="J796" s="62" t="s">
        <v>529</v>
      </c>
    </row>
    <row r="797" spans="1:10" ht="13.5" customHeight="1">
      <c r="A797" s="59">
        <v>6</v>
      </c>
      <c r="B797" s="92">
        <v>3</v>
      </c>
      <c r="C797" s="59">
        <v>2</v>
      </c>
      <c r="D797" s="59">
        <v>3</v>
      </c>
      <c r="E797" s="60">
        <v>6323</v>
      </c>
      <c r="F797" s="96" t="s">
        <v>1060</v>
      </c>
      <c r="G797" s="61" t="s">
        <v>529</v>
      </c>
      <c r="H797" s="62" t="s">
        <v>529</v>
      </c>
      <c r="I797" s="62" t="s">
        <v>529</v>
      </c>
      <c r="J797" s="62" t="s">
        <v>529</v>
      </c>
    </row>
    <row r="798" spans="1:10" ht="13.5" customHeight="1">
      <c r="A798" s="59">
        <v>6</v>
      </c>
      <c r="B798" s="92">
        <v>3</v>
      </c>
      <c r="C798" s="59">
        <v>2</v>
      </c>
      <c r="D798" s="59">
        <v>4</v>
      </c>
      <c r="E798" s="60">
        <v>6324</v>
      </c>
      <c r="F798" s="96" t="s">
        <v>1061</v>
      </c>
      <c r="G798" s="61" t="s">
        <v>529</v>
      </c>
      <c r="H798" s="62" t="s">
        <v>529</v>
      </c>
      <c r="I798" s="62" t="s">
        <v>529</v>
      </c>
      <c r="J798" s="62" t="s">
        <v>529</v>
      </c>
    </row>
    <row r="799" spans="1:10" ht="13.5" customHeight="1">
      <c r="A799" s="59">
        <v>6</v>
      </c>
      <c r="B799" s="92">
        <v>3</v>
      </c>
      <c r="C799" s="59">
        <v>2</v>
      </c>
      <c r="D799" s="59">
        <v>5</v>
      </c>
      <c r="E799" s="60">
        <v>6325</v>
      </c>
      <c r="F799" s="96" t="s">
        <v>1062</v>
      </c>
      <c r="G799" s="61" t="s">
        <v>529</v>
      </c>
      <c r="H799" s="62" t="s">
        <v>529</v>
      </c>
      <c r="I799" s="62" t="s">
        <v>529</v>
      </c>
      <c r="J799" s="62" t="s">
        <v>529</v>
      </c>
    </row>
    <row r="800" spans="1:10" ht="13.5" customHeight="1">
      <c r="A800" s="59">
        <v>6</v>
      </c>
      <c r="B800" s="92">
        <v>3</v>
      </c>
      <c r="C800" s="59">
        <v>2</v>
      </c>
      <c r="D800" s="59">
        <v>6</v>
      </c>
      <c r="E800" s="60">
        <v>6326</v>
      </c>
      <c r="F800" s="96" t="s">
        <v>1063</v>
      </c>
      <c r="G800" s="61" t="s">
        <v>529</v>
      </c>
      <c r="H800" s="62" t="s">
        <v>529</v>
      </c>
      <c r="I800" s="62" t="s">
        <v>529</v>
      </c>
      <c r="J800" s="62" t="s">
        <v>529</v>
      </c>
    </row>
    <row r="801" spans="1:10" ht="13.5" customHeight="1">
      <c r="A801" s="59">
        <v>6</v>
      </c>
      <c r="B801" s="93">
        <v>3</v>
      </c>
      <c r="C801" s="59">
        <v>2</v>
      </c>
      <c r="D801" s="59">
        <v>7</v>
      </c>
      <c r="E801" s="60">
        <v>6327</v>
      </c>
      <c r="F801" s="96" t="s">
        <v>1064</v>
      </c>
      <c r="G801" s="61" t="s">
        <v>529</v>
      </c>
      <c r="H801" s="62" t="s">
        <v>529</v>
      </c>
      <c r="I801" s="62" t="s">
        <v>529</v>
      </c>
      <c r="J801" s="62" t="s">
        <v>529</v>
      </c>
    </row>
    <row r="802" spans="1:10" ht="13.5" customHeight="1">
      <c r="A802" s="52">
        <v>6</v>
      </c>
      <c r="B802" s="89">
        <v>3</v>
      </c>
      <c r="C802" s="52">
        <v>4</v>
      </c>
      <c r="D802" s="52">
        <v>0</v>
      </c>
      <c r="E802" s="52">
        <v>6340</v>
      </c>
      <c r="F802" s="97" t="s">
        <v>1065</v>
      </c>
      <c r="G802" s="53" t="s">
        <v>529</v>
      </c>
      <c r="H802" s="54" t="s">
        <v>529</v>
      </c>
      <c r="I802" s="54" t="s">
        <v>529</v>
      </c>
      <c r="J802" s="54" t="s">
        <v>529</v>
      </c>
    </row>
    <row r="803" spans="1:10" ht="13.5" customHeight="1">
      <c r="A803" s="55">
        <v>6</v>
      </c>
      <c r="B803" s="91">
        <v>3</v>
      </c>
      <c r="C803" s="55">
        <v>4</v>
      </c>
      <c r="D803" s="55">
        <v>1</v>
      </c>
      <c r="E803" s="56">
        <v>6341</v>
      </c>
      <c r="F803" s="95" t="s">
        <v>1066</v>
      </c>
      <c r="G803" s="57" t="s">
        <v>529</v>
      </c>
      <c r="H803" s="58" t="s">
        <v>529</v>
      </c>
      <c r="I803" s="58" t="s">
        <v>529</v>
      </c>
      <c r="J803" s="58" t="s">
        <v>529</v>
      </c>
    </row>
    <row r="804" spans="1:10" ht="13.5" customHeight="1">
      <c r="A804" s="59">
        <v>6</v>
      </c>
      <c r="B804" s="92">
        <v>3</v>
      </c>
      <c r="C804" s="59">
        <v>4</v>
      </c>
      <c r="D804" s="59">
        <v>2</v>
      </c>
      <c r="E804" s="60">
        <v>6342</v>
      </c>
      <c r="F804" s="96" t="s">
        <v>1067</v>
      </c>
      <c r="G804" s="61" t="s">
        <v>529</v>
      </c>
      <c r="H804" s="62" t="s">
        <v>529</v>
      </c>
      <c r="I804" s="62" t="s">
        <v>529</v>
      </c>
      <c r="J804" s="62" t="s">
        <v>529</v>
      </c>
    </row>
    <row r="805" spans="1:10" ht="13.5" customHeight="1">
      <c r="A805" s="59">
        <v>6</v>
      </c>
      <c r="B805" s="92">
        <v>3</v>
      </c>
      <c r="C805" s="59">
        <v>4</v>
      </c>
      <c r="D805" s="59">
        <v>3</v>
      </c>
      <c r="E805" s="60">
        <v>6343</v>
      </c>
      <c r="F805" s="96" t="s">
        <v>1068</v>
      </c>
      <c r="G805" s="61" t="s">
        <v>529</v>
      </c>
      <c r="H805" s="62" t="s">
        <v>529</v>
      </c>
      <c r="I805" s="62" t="s">
        <v>529</v>
      </c>
      <c r="J805" s="62" t="s">
        <v>529</v>
      </c>
    </row>
    <row r="806" spans="1:10" ht="13.5" customHeight="1">
      <c r="A806" s="59">
        <v>6</v>
      </c>
      <c r="B806" s="92">
        <v>3</v>
      </c>
      <c r="C806" s="59">
        <v>4</v>
      </c>
      <c r="D806" s="59">
        <v>4</v>
      </c>
      <c r="E806" s="60">
        <v>6344</v>
      </c>
      <c r="F806" s="96" t="s">
        <v>1069</v>
      </c>
      <c r="G806" s="61" t="s">
        <v>529</v>
      </c>
      <c r="H806" s="62" t="s">
        <v>529</v>
      </c>
      <c r="I806" s="62" t="s">
        <v>529</v>
      </c>
      <c r="J806" s="62" t="s">
        <v>529</v>
      </c>
    </row>
    <row r="807" spans="1:10" ht="13.5" customHeight="1">
      <c r="A807" s="59">
        <v>6</v>
      </c>
      <c r="B807" s="92">
        <v>3</v>
      </c>
      <c r="C807" s="59">
        <v>4</v>
      </c>
      <c r="D807" s="59">
        <v>5</v>
      </c>
      <c r="E807" s="60">
        <v>6345</v>
      </c>
      <c r="F807" s="96" t="s">
        <v>1070</v>
      </c>
      <c r="G807" s="61" t="s">
        <v>529</v>
      </c>
      <c r="H807" s="62" t="s">
        <v>529</v>
      </c>
      <c r="I807" s="62" t="s">
        <v>529</v>
      </c>
      <c r="J807" s="62" t="s">
        <v>529</v>
      </c>
    </row>
    <row r="808" spans="1:10" ht="13.5" customHeight="1">
      <c r="A808" s="59">
        <v>6</v>
      </c>
      <c r="B808" s="92">
        <v>3</v>
      </c>
      <c r="C808" s="59">
        <v>4</v>
      </c>
      <c r="D808" s="59">
        <v>6</v>
      </c>
      <c r="E808" s="60">
        <v>6346</v>
      </c>
      <c r="F808" s="96" t="s">
        <v>1071</v>
      </c>
      <c r="G808" s="61" t="s">
        <v>529</v>
      </c>
      <c r="H808" s="62" t="s">
        <v>529</v>
      </c>
      <c r="I808" s="62" t="s">
        <v>529</v>
      </c>
      <c r="J808" s="62" t="s">
        <v>529</v>
      </c>
    </row>
    <row r="809" spans="1:10" ht="13.5" customHeight="1">
      <c r="A809" s="59">
        <v>6</v>
      </c>
      <c r="B809" s="93">
        <v>3</v>
      </c>
      <c r="C809" s="59">
        <v>4</v>
      </c>
      <c r="D809" s="59">
        <v>7</v>
      </c>
      <c r="E809" s="60">
        <v>6347</v>
      </c>
      <c r="F809" s="96" t="s">
        <v>1072</v>
      </c>
      <c r="G809" s="61" t="s">
        <v>529</v>
      </c>
      <c r="H809" s="62" t="s">
        <v>529</v>
      </c>
      <c r="I809" s="62" t="s">
        <v>529</v>
      </c>
      <c r="J809" s="62" t="s">
        <v>529</v>
      </c>
    </row>
    <row r="810" spans="1:10" ht="13.5" customHeight="1">
      <c r="A810" s="52">
        <v>6</v>
      </c>
      <c r="B810" s="89">
        <v>3</v>
      </c>
      <c r="C810" s="52">
        <v>6</v>
      </c>
      <c r="D810" s="52">
        <v>0</v>
      </c>
      <c r="E810" s="52">
        <v>6360</v>
      </c>
      <c r="F810" s="97" t="s">
        <v>1073</v>
      </c>
      <c r="G810" s="53" t="s">
        <v>529</v>
      </c>
      <c r="H810" s="54" t="s">
        <v>529</v>
      </c>
      <c r="I810" s="54" t="s">
        <v>529</v>
      </c>
      <c r="J810" s="54" t="s">
        <v>529</v>
      </c>
    </row>
    <row r="811" spans="1:10" ht="13.5" customHeight="1">
      <c r="A811" s="55">
        <v>6</v>
      </c>
      <c r="B811" s="91">
        <v>3</v>
      </c>
      <c r="C811" s="55">
        <v>6</v>
      </c>
      <c r="D811" s="55">
        <v>1</v>
      </c>
      <c r="E811" s="56">
        <v>6361</v>
      </c>
      <c r="F811" s="95" t="s">
        <v>1074</v>
      </c>
      <c r="G811" s="57" t="s">
        <v>529</v>
      </c>
      <c r="H811" s="58" t="s">
        <v>529</v>
      </c>
      <c r="I811" s="58" t="s">
        <v>529</v>
      </c>
      <c r="J811" s="58" t="s">
        <v>529</v>
      </c>
    </row>
    <row r="812" spans="1:10" ht="13.5" customHeight="1">
      <c r="A812" s="59">
        <v>6</v>
      </c>
      <c r="B812" s="92">
        <v>3</v>
      </c>
      <c r="C812" s="59">
        <v>6</v>
      </c>
      <c r="D812" s="59">
        <v>2</v>
      </c>
      <c r="E812" s="60">
        <v>6362</v>
      </c>
      <c r="F812" s="96" t="s">
        <v>1075</v>
      </c>
      <c r="G812" s="61" t="s">
        <v>529</v>
      </c>
      <c r="H812" s="62" t="s">
        <v>529</v>
      </c>
      <c r="I812" s="62" t="s">
        <v>529</v>
      </c>
      <c r="J812" s="62" t="s">
        <v>529</v>
      </c>
    </row>
    <row r="813" spans="1:10" ht="13.5" customHeight="1">
      <c r="A813" s="59">
        <v>6</v>
      </c>
      <c r="B813" s="92">
        <v>3</v>
      </c>
      <c r="C813" s="59">
        <v>6</v>
      </c>
      <c r="D813" s="59">
        <v>3</v>
      </c>
      <c r="E813" s="60">
        <v>6363</v>
      </c>
      <c r="F813" s="96" t="s">
        <v>1076</v>
      </c>
      <c r="G813" s="61" t="s">
        <v>529</v>
      </c>
      <c r="H813" s="62" t="s">
        <v>529</v>
      </c>
      <c r="I813" s="62" t="s">
        <v>529</v>
      </c>
      <c r="J813" s="62" t="s">
        <v>529</v>
      </c>
    </row>
    <row r="814" spans="1:10" ht="13.5" customHeight="1">
      <c r="A814" s="59">
        <v>6</v>
      </c>
      <c r="B814" s="93">
        <v>3</v>
      </c>
      <c r="C814" s="59">
        <v>6</v>
      </c>
      <c r="D814" s="59">
        <v>4</v>
      </c>
      <c r="E814" s="60">
        <v>6364</v>
      </c>
      <c r="F814" s="96" t="s">
        <v>1077</v>
      </c>
      <c r="G814" s="61" t="s">
        <v>529</v>
      </c>
      <c r="H814" s="62" t="s">
        <v>529</v>
      </c>
      <c r="I814" s="62" t="s">
        <v>529</v>
      </c>
      <c r="J814" s="62" t="s">
        <v>529</v>
      </c>
    </row>
    <row r="815" spans="1:10" ht="13.5" customHeight="1">
      <c r="A815" s="52">
        <v>6</v>
      </c>
      <c r="B815" s="89">
        <v>3</v>
      </c>
      <c r="C815" s="52">
        <v>9</v>
      </c>
      <c r="D815" s="52">
        <v>0</v>
      </c>
      <c r="E815" s="52">
        <v>6390</v>
      </c>
      <c r="F815" s="97" t="s">
        <v>1078</v>
      </c>
      <c r="G815" s="53" t="s">
        <v>529</v>
      </c>
      <c r="H815" s="54" t="s">
        <v>529</v>
      </c>
      <c r="I815" s="54" t="s">
        <v>529</v>
      </c>
      <c r="J815" s="54" t="s">
        <v>529</v>
      </c>
    </row>
    <row r="816" spans="1:10" ht="13.5" customHeight="1">
      <c r="A816" s="55">
        <v>6</v>
      </c>
      <c r="B816" s="91">
        <v>3</v>
      </c>
      <c r="C816" s="55">
        <v>9</v>
      </c>
      <c r="D816" s="55">
        <v>1</v>
      </c>
      <c r="E816" s="56">
        <v>6391</v>
      </c>
      <c r="F816" s="95" t="s">
        <v>1079</v>
      </c>
      <c r="G816" s="57" t="s">
        <v>529</v>
      </c>
      <c r="H816" s="58" t="s">
        <v>529</v>
      </c>
      <c r="I816" s="58" t="s">
        <v>529</v>
      </c>
      <c r="J816" s="58" t="s">
        <v>529</v>
      </c>
    </row>
    <row r="817" spans="1:10" ht="13.5" customHeight="1">
      <c r="A817" s="63">
        <v>6</v>
      </c>
      <c r="B817" s="93">
        <v>3</v>
      </c>
      <c r="C817" s="63">
        <v>9</v>
      </c>
      <c r="D817" s="63">
        <v>2</v>
      </c>
      <c r="E817" s="64">
        <v>6392</v>
      </c>
      <c r="F817" s="98" t="s">
        <v>1080</v>
      </c>
      <c r="G817" s="65" t="s">
        <v>529</v>
      </c>
      <c r="H817" s="66" t="s">
        <v>529</v>
      </c>
      <c r="I817" s="66" t="s">
        <v>529</v>
      </c>
      <c r="J817" s="66" t="s">
        <v>529</v>
      </c>
    </row>
    <row r="818" spans="1:10" ht="27" customHeight="1">
      <c r="A818" s="42">
        <v>7</v>
      </c>
      <c r="B818" s="88">
        <v>0</v>
      </c>
      <c r="C818" s="42">
        <v>0</v>
      </c>
      <c r="D818" s="42">
        <v>0</v>
      </c>
      <c r="E818" s="42">
        <v>7000</v>
      </c>
      <c r="F818" s="100" t="s">
        <v>1081</v>
      </c>
      <c r="G818" s="44" t="s">
        <v>1082</v>
      </c>
      <c r="H818" s="45" t="s">
        <v>1082</v>
      </c>
      <c r="I818" s="45" t="s">
        <v>1082</v>
      </c>
      <c r="J818" s="45" t="s">
        <v>1082</v>
      </c>
    </row>
    <row r="819" spans="1:10" ht="27" customHeight="1">
      <c r="A819" s="46">
        <v>7</v>
      </c>
      <c r="B819" s="90">
        <v>1</v>
      </c>
      <c r="C819" s="46">
        <v>0</v>
      </c>
      <c r="D819" s="46">
        <v>0</v>
      </c>
      <c r="E819" s="46">
        <v>7100</v>
      </c>
      <c r="F819" s="99" t="s">
        <v>1083</v>
      </c>
      <c r="G819" s="48" t="s">
        <v>1082</v>
      </c>
      <c r="H819" s="49" t="s">
        <v>1082</v>
      </c>
      <c r="I819" s="49" t="s">
        <v>1082</v>
      </c>
      <c r="J819" s="49" t="s">
        <v>1082</v>
      </c>
    </row>
    <row r="820" spans="1:10" ht="13.5" customHeight="1">
      <c r="A820" s="52">
        <v>7</v>
      </c>
      <c r="B820" s="89">
        <v>1</v>
      </c>
      <c r="C820" s="52">
        <v>1</v>
      </c>
      <c r="D820" s="52">
        <v>0</v>
      </c>
      <c r="E820" s="52">
        <v>7110</v>
      </c>
      <c r="F820" s="97" t="s">
        <v>1084</v>
      </c>
      <c r="G820" s="53" t="s">
        <v>553</v>
      </c>
      <c r="H820" s="54" t="s">
        <v>553</v>
      </c>
      <c r="I820" s="54" t="s">
        <v>553</v>
      </c>
      <c r="J820" s="54" t="s">
        <v>553</v>
      </c>
    </row>
    <row r="821" spans="1:10" ht="13.5" customHeight="1">
      <c r="A821" s="55">
        <v>7</v>
      </c>
      <c r="B821" s="103">
        <v>1</v>
      </c>
      <c r="C821" s="55">
        <v>1</v>
      </c>
      <c r="D821" s="55">
        <v>1</v>
      </c>
      <c r="E821" s="56">
        <v>7111</v>
      </c>
      <c r="F821" s="95" t="s">
        <v>1085</v>
      </c>
      <c r="G821" s="57" t="s">
        <v>553</v>
      </c>
      <c r="H821" s="58" t="s">
        <v>553</v>
      </c>
      <c r="I821" s="58" t="s">
        <v>553</v>
      </c>
      <c r="J821" s="58" t="s">
        <v>553</v>
      </c>
    </row>
    <row r="822" spans="1:10" ht="13.5" customHeight="1">
      <c r="A822" s="52">
        <v>7</v>
      </c>
      <c r="B822" s="89">
        <v>1</v>
      </c>
      <c r="C822" s="52">
        <v>2</v>
      </c>
      <c r="D822" s="52">
        <v>0</v>
      </c>
      <c r="E822" s="52">
        <v>7120</v>
      </c>
      <c r="F822" s="97" t="s">
        <v>1086</v>
      </c>
      <c r="G822" s="53" t="s">
        <v>1087</v>
      </c>
      <c r="H822" s="54" t="s">
        <v>1087</v>
      </c>
      <c r="I822" s="54" t="s">
        <v>1087</v>
      </c>
      <c r="J822" s="54" t="s">
        <v>1087</v>
      </c>
    </row>
    <row r="823" spans="1:10" ht="13.5" customHeight="1">
      <c r="A823" s="55">
        <v>7</v>
      </c>
      <c r="B823" s="91">
        <v>1</v>
      </c>
      <c r="C823" s="55">
        <v>2</v>
      </c>
      <c r="D823" s="55">
        <v>1</v>
      </c>
      <c r="E823" s="56">
        <v>7121</v>
      </c>
      <c r="F823" s="95" t="s">
        <v>1088</v>
      </c>
      <c r="G823" s="57" t="s">
        <v>529</v>
      </c>
      <c r="H823" s="58" t="s">
        <v>529</v>
      </c>
      <c r="I823" s="58" t="s">
        <v>529</v>
      </c>
      <c r="J823" s="58" t="s">
        <v>529</v>
      </c>
    </row>
    <row r="824" spans="1:10" ht="13.5" customHeight="1">
      <c r="A824" s="59">
        <v>7</v>
      </c>
      <c r="B824" s="92">
        <v>1</v>
      </c>
      <c r="C824" s="59">
        <v>2</v>
      </c>
      <c r="D824" s="59">
        <v>2</v>
      </c>
      <c r="E824" s="60">
        <v>7122</v>
      </c>
      <c r="F824" s="96" t="s">
        <v>1089</v>
      </c>
      <c r="G824" s="61" t="s">
        <v>529</v>
      </c>
      <c r="H824" s="62" t="s">
        <v>529</v>
      </c>
      <c r="I824" s="62" t="s">
        <v>529</v>
      </c>
      <c r="J824" s="62" t="s">
        <v>529</v>
      </c>
    </row>
    <row r="825" spans="1:10" ht="13.5" customHeight="1">
      <c r="A825" s="59">
        <v>7</v>
      </c>
      <c r="B825" s="92">
        <v>1</v>
      </c>
      <c r="C825" s="59">
        <v>2</v>
      </c>
      <c r="D825" s="59">
        <v>3</v>
      </c>
      <c r="E825" s="60">
        <v>7123</v>
      </c>
      <c r="F825" s="96" t="s">
        <v>1090</v>
      </c>
      <c r="G825" s="61" t="s">
        <v>535</v>
      </c>
      <c r="H825" s="62" t="s">
        <v>535</v>
      </c>
      <c r="I825" s="62" t="s">
        <v>535</v>
      </c>
      <c r="J825" s="62" t="s">
        <v>535</v>
      </c>
    </row>
    <row r="826" spans="1:10" ht="13.5" customHeight="1">
      <c r="A826" s="59">
        <v>7</v>
      </c>
      <c r="B826" s="92">
        <v>1</v>
      </c>
      <c r="C826" s="59">
        <v>2</v>
      </c>
      <c r="D826" s="59">
        <v>4</v>
      </c>
      <c r="E826" s="60">
        <v>7124</v>
      </c>
      <c r="F826" s="96" t="s">
        <v>1091</v>
      </c>
      <c r="G826" s="61" t="s">
        <v>553</v>
      </c>
      <c r="H826" s="62" t="s">
        <v>553</v>
      </c>
      <c r="I826" s="62" t="s">
        <v>553</v>
      </c>
      <c r="J826" s="62" t="s">
        <v>553</v>
      </c>
    </row>
    <row r="827" spans="1:10" ht="13.5" customHeight="1">
      <c r="A827" s="59">
        <v>7</v>
      </c>
      <c r="B827" s="92">
        <v>1</v>
      </c>
      <c r="C827" s="59">
        <v>2</v>
      </c>
      <c r="D827" s="59">
        <v>5</v>
      </c>
      <c r="E827" s="60">
        <v>7125</v>
      </c>
      <c r="F827" s="96" t="s">
        <v>1092</v>
      </c>
      <c r="G827" s="61" t="s">
        <v>553</v>
      </c>
      <c r="H827" s="62" t="s">
        <v>553</v>
      </c>
      <c r="I827" s="62" t="s">
        <v>553</v>
      </c>
      <c r="J827" s="62" t="s">
        <v>553</v>
      </c>
    </row>
    <row r="828" spans="1:10" ht="13.5" customHeight="1">
      <c r="A828" s="59">
        <v>7</v>
      </c>
      <c r="B828" s="92">
        <v>1</v>
      </c>
      <c r="C828" s="59">
        <v>2</v>
      </c>
      <c r="D828" s="59">
        <v>6</v>
      </c>
      <c r="E828" s="60">
        <v>7126</v>
      </c>
      <c r="F828" s="96" t="s">
        <v>1093</v>
      </c>
      <c r="G828" s="61" t="s">
        <v>1013</v>
      </c>
      <c r="H828" s="62" t="s">
        <v>1013</v>
      </c>
      <c r="I828" s="62" t="s">
        <v>1013</v>
      </c>
      <c r="J828" s="62" t="s">
        <v>1013</v>
      </c>
    </row>
    <row r="829" spans="1:10" ht="13.5" customHeight="1">
      <c r="A829" s="59">
        <v>7</v>
      </c>
      <c r="B829" s="93">
        <v>1</v>
      </c>
      <c r="C829" s="59">
        <v>2</v>
      </c>
      <c r="D829" s="59">
        <v>7</v>
      </c>
      <c r="E829" s="60">
        <v>7127</v>
      </c>
      <c r="F829" s="96" t="s">
        <v>1094</v>
      </c>
      <c r="G829" s="61" t="s">
        <v>529</v>
      </c>
      <c r="H829" s="62" t="s">
        <v>529</v>
      </c>
      <c r="I829" s="62" t="s">
        <v>529</v>
      </c>
      <c r="J829" s="62" t="s">
        <v>529</v>
      </c>
    </row>
    <row r="830" spans="1:10" ht="13.5" customHeight="1">
      <c r="A830" s="52">
        <v>7</v>
      </c>
      <c r="B830" s="89">
        <v>1</v>
      </c>
      <c r="C830" s="52">
        <v>3</v>
      </c>
      <c r="D830" s="52">
        <v>0</v>
      </c>
      <c r="E830" s="52">
        <v>7130</v>
      </c>
      <c r="F830" s="97" t="s">
        <v>1095</v>
      </c>
      <c r="G830" s="53" t="s">
        <v>535</v>
      </c>
      <c r="H830" s="54" t="s">
        <v>535</v>
      </c>
      <c r="I830" s="54" t="s">
        <v>535</v>
      </c>
      <c r="J830" s="54" t="s">
        <v>535</v>
      </c>
    </row>
    <row r="831" spans="1:10" ht="13.5" customHeight="1">
      <c r="A831" s="52">
        <v>7</v>
      </c>
      <c r="B831" s="89">
        <v>1</v>
      </c>
      <c r="C831" s="52">
        <v>4</v>
      </c>
      <c r="D831" s="52">
        <v>0</v>
      </c>
      <c r="E831" s="52">
        <v>7140</v>
      </c>
      <c r="F831" s="97" t="s">
        <v>1096</v>
      </c>
      <c r="G831" s="53" t="s">
        <v>1097</v>
      </c>
      <c r="H831" s="54" t="s">
        <v>1097</v>
      </c>
      <c r="I831" s="54" t="s">
        <v>1097</v>
      </c>
      <c r="J831" s="54" t="s">
        <v>1097</v>
      </c>
    </row>
    <row r="832" spans="1:10" ht="13.5" customHeight="1">
      <c r="A832" s="59">
        <v>7</v>
      </c>
      <c r="B832" s="91">
        <v>1</v>
      </c>
      <c r="C832" s="59">
        <v>4</v>
      </c>
      <c r="D832" s="59">
        <v>2</v>
      </c>
      <c r="E832" s="60">
        <v>7142</v>
      </c>
      <c r="F832" s="96" t="s">
        <v>1098</v>
      </c>
      <c r="G832" s="61" t="s">
        <v>529</v>
      </c>
      <c r="H832" s="62" t="s">
        <v>529</v>
      </c>
      <c r="I832" s="62" t="s">
        <v>529</v>
      </c>
      <c r="J832" s="62" t="s">
        <v>529</v>
      </c>
    </row>
    <row r="833" spans="1:10" ht="13.5" customHeight="1">
      <c r="A833" s="59">
        <v>7</v>
      </c>
      <c r="B833" s="92">
        <v>1</v>
      </c>
      <c r="C833" s="59">
        <v>4</v>
      </c>
      <c r="D833" s="59">
        <v>3</v>
      </c>
      <c r="E833" s="60">
        <v>7143</v>
      </c>
      <c r="F833" s="96" t="s">
        <v>1099</v>
      </c>
      <c r="G833" s="80" t="s">
        <v>763</v>
      </c>
      <c r="H833" s="81" t="s">
        <v>763</v>
      </c>
      <c r="I833" s="81" t="s">
        <v>763</v>
      </c>
      <c r="J833" s="81" t="s">
        <v>763</v>
      </c>
    </row>
    <row r="834" spans="1:10" ht="13.5" customHeight="1">
      <c r="A834" s="59">
        <v>7</v>
      </c>
      <c r="B834" s="92">
        <v>1</v>
      </c>
      <c r="C834" s="59">
        <v>4</v>
      </c>
      <c r="D834" s="59">
        <v>5</v>
      </c>
      <c r="E834" s="60">
        <v>7145</v>
      </c>
      <c r="F834" s="96" t="s">
        <v>1100</v>
      </c>
      <c r="G834" s="61" t="s">
        <v>1101</v>
      </c>
      <c r="H834" s="62" t="s">
        <v>1101</v>
      </c>
      <c r="I834" s="62" t="s">
        <v>1101</v>
      </c>
      <c r="J834" s="62" t="s">
        <v>1101</v>
      </c>
    </row>
    <row r="835" spans="1:10" ht="13.5" customHeight="1">
      <c r="A835" s="59">
        <v>7</v>
      </c>
      <c r="B835" s="92">
        <v>1</v>
      </c>
      <c r="C835" s="59">
        <v>4</v>
      </c>
      <c r="D835" s="59">
        <v>6</v>
      </c>
      <c r="E835" s="60">
        <v>7146</v>
      </c>
      <c r="F835" s="96" t="s">
        <v>1102</v>
      </c>
      <c r="G835" s="61" t="s">
        <v>1103</v>
      </c>
      <c r="H835" s="62" t="s">
        <v>1103</v>
      </c>
      <c r="I835" s="62" t="s">
        <v>1103</v>
      </c>
      <c r="J835" s="62" t="s">
        <v>1103</v>
      </c>
    </row>
    <row r="836" spans="1:10" ht="13.5" customHeight="1">
      <c r="A836" s="59">
        <v>7</v>
      </c>
      <c r="B836" s="92">
        <v>1</v>
      </c>
      <c r="C836" s="59">
        <v>4</v>
      </c>
      <c r="D836" s="59">
        <v>7</v>
      </c>
      <c r="E836" s="60">
        <v>7147</v>
      </c>
      <c r="F836" s="96" t="s">
        <v>1104</v>
      </c>
      <c r="G836" s="61" t="s">
        <v>1101</v>
      </c>
      <c r="H836" s="62" t="s">
        <v>1101</v>
      </c>
      <c r="I836" s="62" t="s">
        <v>1101</v>
      </c>
      <c r="J836" s="62" t="s">
        <v>1101</v>
      </c>
    </row>
    <row r="837" spans="1:10" ht="13.5" customHeight="1">
      <c r="A837" s="63">
        <v>7</v>
      </c>
      <c r="B837" s="93">
        <v>1</v>
      </c>
      <c r="C837" s="63">
        <v>4</v>
      </c>
      <c r="D837" s="63">
        <v>9</v>
      </c>
      <c r="E837" s="64">
        <v>7149</v>
      </c>
      <c r="F837" s="98" t="s">
        <v>1105</v>
      </c>
      <c r="G837" s="65" t="s">
        <v>529</v>
      </c>
      <c r="H837" s="66" t="s">
        <v>529</v>
      </c>
      <c r="I837" s="66" t="s">
        <v>529</v>
      </c>
      <c r="J837" s="66" t="s">
        <v>529</v>
      </c>
    </row>
    <row r="838" spans="1:10" ht="13.5" customHeight="1">
      <c r="A838" s="52">
        <v>7</v>
      </c>
      <c r="B838" s="89">
        <v>1</v>
      </c>
      <c r="C838" s="52">
        <v>6</v>
      </c>
      <c r="D838" s="52">
        <v>0</v>
      </c>
      <c r="E838" s="52">
        <v>7160</v>
      </c>
      <c r="F838" s="97" t="s">
        <v>1106</v>
      </c>
      <c r="G838" s="53" t="s">
        <v>529</v>
      </c>
      <c r="H838" s="54" t="s">
        <v>529</v>
      </c>
      <c r="I838" s="54" t="s">
        <v>529</v>
      </c>
      <c r="J838" s="54" t="s">
        <v>529</v>
      </c>
    </row>
    <row r="839" spans="1:10" ht="13.5" customHeight="1">
      <c r="A839" s="55">
        <v>7</v>
      </c>
      <c r="B839" s="91">
        <v>1</v>
      </c>
      <c r="C839" s="55">
        <v>6</v>
      </c>
      <c r="D839" s="55">
        <v>1</v>
      </c>
      <c r="E839" s="56">
        <v>7161</v>
      </c>
      <c r="F839" s="95" t="s">
        <v>1107</v>
      </c>
      <c r="G839" s="57" t="s">
        <v>529</v>
      </c>
      <c r="H839" s="58" t="s">
        <v>529</v>
      </c>
      <c r="I839" s="58" t="s">
        <v>529</v>
      </c>
      <c r="J839" s="58" t="s">
        <v>529</v>
      </c>
    </row>
    <row r="840" spans="1:10" ht="13.5" customHeight="1">
      <c r="A840" s="59">
        <v>7</v>
      </c>
      <c r="B840" s="92">
        <v>1</v>
      </c>
      <c r="C840" s="59">
        <v>6</v>
      </c>
      <c r="D840" s="59">
        <v>2</v>
      </c>
      <c r="E840" s="60">
        <v>7162</v>
      </c>
      <c r="F840" s="96" t="s">
        <v>1108</v>
      </c>
      <c r="G840" s="61" t="s">
        <v>529</v>
      </c>
      <c r="H840" s="62" t="s">
        <v>529</v>
      </c>
      <c r="I840" s="62" t="s">
        <v>529</v>
      </c>
      <c r="J840" s="62" t="s">
        <v>529</v>
      </c>
    </row>
    <row r="841" spans="1:10" ht="13.5" customHeight="1">
      <c r="A841" s="59">
        <v>7</v>
      </c>
      <c r="B841" s="92">
        <v>1</v>
      </c>
      <c r="C841" s="59">
        <v>6</v>
      </c>
      <c r="D841" s="59">
        <v>3</v>
      </c>
      <c r="E841" s="60">
        <v>7163</v>
      </c>
      <c r="F841" s="96" t="s">
        <v>1109</v>
      </c>
      <c r="G841" s="61" t="s">
        <v>529</v>
      </c>
      <c r="H841" s="62" t="s">
        <v>529</v>
      </c>
      <c r="I841" s="62" t="s">
        <v>529</v>
      </c>
      <c r="J841" s="62" t="s">
        <v>529</v>
      </c>
    </row>
    <row r="842" spans="1:10" ht="13.5" customHeight="1">
      <c r="A842" s="59">
        <v>7</v>
      </c>
      <c r="B842" s="92">
        <v>1</v>
      </c>
      <c r="C842" s="59">
        <v>6</v>
      </c>
      <c r="D842" s="59">
        <v>4</v>
      </c>
      <c r="E842" s="60">
        <v>7164</v>
      </c>
      <c r="F842" s="96" t="s">
        <v>1110</v>
      </c>
      <c r="G842" s="61" t="s">
        <v>529</v>
      </c>
      <c r="H842" s="62" t="s">
        <v>529</v>
      </c>
      <c r="I842" s="62" t="s">
        <v>529</v>
      </c>
      <c r="J842" s="62" t="s">
        <v>529</v>
      </c>
    </row>
    <row r="843" spans="1:10" ht="13.5" customHeight="1">
      <c r="A843" s="59">
        <v>7</v>
      </c>
      <c r="B843" s="92">
        <v>1</v>
      </c>
      <c r="C843" s="59">
        <v>6</v>
      </c>
      <c r="D843" s="59">
        <v>5</v>
      </c>
      <c r="E843" s="60">
        <v>7165</v>
      </c>
      <c r="F843" s="96" t="s">
        <v>1111</v>
      </c>
      <c r="G843" s="61" t="s">
        <v>529</v>
      </c>
      <c r="H843" s="62" t="s">
        <v>529</v>
      </c>
      <c r="I843" s="62" t="s">
        <v>529</v>
      </c>
      <c r="J843" s="62" t="s">
        <v>529</v>
      </c>
    </row>
    <row r="844" spans="1:10" ht="13.5" customHeight="1">
      <c r="A844" s="63">
        <v>7</v>
      </c>
      <c r="B844" s="93">
        <v>1</v>
      </c>
      <c r="C844" s="63">
        <v>6</v>
      </c>
      <c r="D844" s="63">
        <v>9</v>
      </c>
      <c r="E844" s="64">
        <v>7169</v>
      </c>
      <c r="F844" s="98" t="s">
        <v>1112</v>
      </c>
      <c r="G844" s="65" t="s">
        <v>529</v>
      </c>
      <c r="H844" s="66" t="s">
        <v>529</v>
      </c>
      <c r="I844" s="66" t="s">
        <v>529</v>
      </c>
      <c r="J844" s="66" t="s">
        <v>529</v>
      </c>
    </row>
    <row r="845" spans="1:10" ht="13.5" customHeight="1">
      <c r="A845" s="52">
        <v>7</v>
      </c>
      <c r="B845" s="89">
        <v>1</v>
      </c>
      <c r="C845" s="52">
        <v>7</v>
      </c>
      <c r="D845" s="52">
        <v>0</v>
      </c>
      <c r="E845" s="52">
        <v>7170</v>
      </c>
      <c r="F845" s="97" t="s">
        <v>1113</v>
      </c>
      <c r="G845" s="53" t="s">
        <v>553</v>
      </c>
      <c r="H845" s="54" t="s">
        <v>553</v>
      </c>
      <c r="I845" s="54" t="s">
        <v>553</v>
      </c>
      <c r="J845" s="54" t="s">
        <v>553</v>
      </c>
    </row>
    <row r="846" spans="1:10" ht="13.5" customHeight="1">
      <c r="A846" s="55">
        <v>7</v>
      </c>
      <c r="B846" s="91">
        <v>1</v>
      </c>
      <c r="C846" s="55">
        <v>7</v>
      </c>
      <c r="D846" s="55">
        <v>1</v>
      </c>
      <c r="E846" s="56">
        <v>7171</v>
      </c>
      <c r="F846" s="95" t="s">
        <v>1114</v>
      </c>
      <c r="G846" s="78" t="s">
        <v>763</v>
      </c>
      <c r="H846" s="79" t="s">
        <v>763</v>
      </c>
      <c r="I846" s="79" t="s">
        <v>763</v>
      </c>
      <c r="J846" s="79" t="s">
        <v>763</v>
      </c>
    </row>
    <row r="847" spans="1:10" ht="13.5" customHeight="1">
      <c r="A847" s="59">
        <v>7</v>
      </c>
      <c r="B847" s="92">
        <v>1</v>
      </c>
      <c r="C847" s="59">
        <v>7</v>
      </c>
      <c r="D847" s="59">
        <v>4</v>
      </c>
      <c r="E847" s="60">
        <v>7174</v>
      </c>
      <c r="F847" s="96" t="s">
        <v>1115</v>
      </c>
      <c r="G847" s="72"/>
      <c r="H847" s="73"/>
      <c r="I847" s="73"/>
      <c r="J847" s="73"/>
    </row>
    <row r="848" spans="1:10" ht="13.5" customHeight="1">
      <c r="A848" s="59">
        <v>7</v>
      </c>
      <c r="B848" s="92">
        <v>1</v>
      </c>
      <c r="C848" s="59">
        <v>7</v>
      </c>
      <c r="D848" s="59">
        <v>5</v>
      </c>
      <c r="E848" s="60">
        <v>7175</v>
      </c>
      <c r="F848" s="96" t="s">
        <v>1116</v>
      </c>
      <c r="G848" s="80" t="s">
        <v>763</v>
      </c>
      <c r="H848" s="81" t="s">
        <v>763</v>
      </c>
      <c r="I848" s="81" t="s">
        <v>763</v>
      </c>
      <c r="J848" s="81" t="s">
        <v>763</v>
      </c>
    </row>
    <row r="849" spans="1:10" ht="13.5" customHeight="1">
      <c r="A849" s="59">
        <v>7</v>
      </c>
      <c r="B849" s="92">
        <v>1</v>
      </c>
      <c r="C849" s="59">
        <v>7</v>
      </c>
      <c r="D849" s="59">
        <v>6</v>
      </c>
      <c r="E849" s="60">
        <v>7176</v>
      </c>
      <c r="F849" s="96" t="s">
        <v>1117</v>
      </c>
      <c r="G849" s="80" t="s">
        <v>763</v>
      </c>
      <c r="H849" s="81" t="s">
        <v>763</v>
      </c>
      <c r="I849" s="81" t="s">
        <v>763</v>
      </c>
      <c r="J849" s="81" t="s">
        <v>763</v>
      </c>
    </row>
    <row r="850" spans="1:10" ht="13.5" customHeight="1">
      <c r="A850" s="59">
        <v>7</v>
      </c>
      <c r="B850" s="92">
        <v>1</v>
      </c>
      <c r="C850" s="59">
        <v>7</v>
      </c>
      <c r="D850" s="59">
        <v>7</v>
      </c>
      <c r="E850" s="60">
        <v>7177</v>
      </c>
      <c r="F850" s="96" t="s">
        <v>1118</v>
      </c>
      <c r="G850" s="61" t="s">
        <v>553</v>
      </c>
      <c r="H850" s="62" t="s">
        <v>553</v>
      </c>
      <c r="I850" s="62" t="s">
        <v>553</v>
      </c>
      <c r="J850" s="62" t="s">
        <v>553</v>
      </c>
    </row>
    <row r="851" spans="1:10" ht="13.5" customHeight="1">
      <c r="A851" s="59">
        <v>7</v>
      </c>
      <c r="B851" s="92">
        <v>1</v>
      </c>
      <c r="C851" s="59">
        <v>7</v>
      </c>
      <c r="D851" s="59">
        <v>8</v>
      </c>
      <c r="E851" s="60">
        <v>7178</v>
      </c>
      <c r="F851" s="96" t="s">
        <v>1119</v>
      </c>
      <c r="G851" s="65" t="s">
        <v>553</v>
      </c>
      <c r="H851" s="62" t="s">
        <v>553</v>
      </c>
      <c r="I851" s="62" t="s">
        <v>553</v>
      </c>
      <c r="J851" s="62" t="s">
        <v>553</v>
      </c>
    </row>
    <row r="852" spans="1:10" ht="13.5" customHeight="1">
      <c r="A852" s="63">
        <v>7</v>
      </c>
      <c r="B852" s="93">
        <v>1</v>
      </c>
      <c r="C852" s="63">
        <v>7</v>
      </c>
      <c r="D852" s="63">
        <v>9</v>
      </c>
      <c r="E852" s="64">
        <v>7179</v>
      </c>
      <c r="F852" s="98" t="s">
        <v>1120</v>
      </c>
      <c r="G852" s="65" t="s">
        <v>1121</v>
      </c>
      <c r="H852" s="66" t="s">
        <v>1121</v>
      </c>
      <c r="I852" s="66" t="s">
        <v>553</v>
      </c>
      <c r="J852" s="66" t="s">
        <v>553</v>
      </c>
    </row>
    <row r="853" spans="1:10" ht="13.5" customHeight="1">
      <c r="A853" s="52">
        <v>7</v>
      </c>
      <c r="B853" s="89">
        <v>1</v>
      </c>
      <c r="C853" s="52">
        <v>8</v>
      </c>
      <c r="D853" s="52">
        <v>0</v>
      </c>
      <c r="E853" s="52">
        <v>7180</v>
      </c>
      <c r="F853" s="97" t="s">
        <v>1122</v>
      </c>
      <c r="G853" s="53" t="s">
        <v>535</v>
      </c>
      <c r="H853" s="54" t="s">
        <v>535</v>
      </c>
      <c r="I853" s="54" t="s">
        <v>535</v>
      </c>
      <c r="J853" s="54" t="s">
        <v>535</v>
      </c>
    </row>
    <row r="854" spans="1:10" ht="13.5" customHeight="1">
      <c r="A854" s="55">
        <v>7</v>
      </c>
      <c r="B854" s="91">
        <v>1</v>
      </c>
      <c r="C854" s="55">
        <v>8</v>
      </c>
      <c r="D854" s="55">
        <v>1</v>
      </c>
      <c r="E854" s="56">
        <v>7181</v>
      </c>
      <c r="F854" s="95" t="s">
        <v>1123</v>
      </c>
      <c r="G854" s="57" t="s">
        <v>535</v>
      </c>
      <c r="H854" s="58" t="s">
        <v>535</v>
      </c>
      <c r="I854" s="58" t="s">
        <v>535</v>
      </c>
      <c r="J854" s="58" t="s">
        <v>535</v>
      </c>
    </row>
    <row r="855" spans="1:10" ht="13.5" customHeight="1">
      <c r="A855" s="59">
        <v>7</v>
      </c>
      <c r="B855" s="92">
        <v>1</v>
      </c>
      <c r="C855" s="59">
        <v>8</v>
      </c>
      <c r="D855" s="59">
        <v>2</v>
      </c>
      <c r="E855" s="60">
        <v>7182</v>
      </c>
      <c r="F855" s="96" t="s">
        <v>1124</v>
      </c>
      <c r="G855" s="61" t="s">
        <v>535</v>
      </c>
      <c r="H855" s="62" t="s">
        <v>535</v>
      </c>
      <c r="I855" s="62" t="s">
        <v>535</v>
      </c>
      <c r="J855" s="62" t="s">
        <v>535</v>
      </c>
    </row>
    <row r="856" spans="1:10" ht="13.5" customHeight="1">
      <c r="A856" s="59">
        <v>7</v>
      </c>
      <c r="B856" s="92">
        <v>1</v>
      </c>
      <c r="C856" s="59">
        <v>8</v>
      </c>
      <c r="D856" s="59">
        <v>3</v>
      </c>
      <c r="E856" s="60">
        <v>7183</v>
      </c>
      <c r="F856" s="96" t="s">
        <v>1125</v>
      </c>
      <c r="G856" s="72"/>
      <c r="H856" s="73"/>
      <c r="I856" s="73"/>
      <c r="J856" s="73"/>
    </row>
    <row r="857" spans="1:10" ht="13.5" customHeight="1">
      <c r="A857" s="59">
        <v>7</v>
      </c>
      <c r="B857" s="92">
        <v>1</v>
      </c>
      <c r="C857" s="59">
        <v>8</v>
      </c>
      <c r="D857" s="59">
        <v>4</v>
      </c>
      <c r="E857" s="60">
        <v>7184</v>
      </c>
      <c r="F857" s="96" t="s">
        <v>1126</v>
      </c>
      <c r="G857" s="61" t="s">
        <v>535</v>
      </c>
      <c r="H857" s="62" t="s">
        <v>535</v>
      </c>
      <c r="I857" s="62" t="s">
        <v>535</v>
      </c>
      <c r="J857" s="62" t="s">
        <v>535</v>
      </c>
    </row>
    <row r="858" spans="1:10" ht="13.5" customHeight="1">
      <c r="A858" s="59">
        <v>7</v>
      </c>
      <c r="B858" s="92">
        <v>1</v>
      </c>
      <c r="C858" s="59">
        <v>8</v>
      </c>
      <c r="D858" s="59">
        <v>5</v>
      </c>
      <c r="E858" s="60">
        <v>7185</v>
      </c>
      <c r="F858" s="96" t="s">
        <v>1127</v>
      </c>
      <c r="G858" s="61" t="s">
        <v>535</v>
      </c>
      <c r="H858" s="62" t="s">
        <v>535</v>
      </c>
      <c r="I858" s="62" t="s">
        <v>535</v>
      </c>
      <c r="J858" s="62" t="s">
        <v>535</v>
      </c>
    </row>
    <row r="859" spans="1:10" ht="13.5" customHeight="1">
      <c r="A859" s="59">
        <v>7</v>
      </c>
      <c r="B859" s="92">
        <v>1</v>
      </c>
      <c r="C859" s="59">
        <v>8</v>
      </c>
      <c r="D859" s="59">
        <v>6</v>
      </c>
      <c r="E859" s="60">
        <v>7186</v>
      </c>
      <c r="F859" s="96" t="s">
        <v>1128</v>
      </c>
      <c r="G859" s="61" t="s">
        <v>535</v>
      </c>
      <c r="H859" s="62" t="s">
        <v>535</v>
      </c>
      <c r="I859" s="62" t="s">
        <v>535</v>
      </c>
      <c r="J859" s="62" t="s">
        <v>535</v>
      </c>
    </row>
    <row r="860" spans="1:10" ht="13.5" customHeight="1">
      <c r="A860" s="59">
        <v>7</v>
      </c>
      <c r="B860" s="92">
        <v>1</v>
      </c>
      <c r="C860" s="59">
        <v>8</v>
      </c>
      <c r="D860" s="59">
        <v>7</v>
      </c>
      <c r="E860" s="60">
        <v>7187</v>
      </c>
      <c r="F860" s="96" t="s">
        <v>1104</v>
      </c>
      <c r="G860" s="61" t="s">
        <v>535</v>
      </c>
      <c r="H860" s="62" t="s">
        <v>535</v>
      </c>
      <c r="I860" s="62" t="s">
        <v>535</v>
      </c>
      <c r="J860" s="62" t="s">
        <v>535</v>
      </c>
    </row>
    <row r="861" spans="1:10" ht="13.5" customHeight="1">
      <c r="A861" s="59">
        <v>7</v>
      </c>
      <c r="B861" s="93">
        <v>1</v>
      </c>
      <c r="C861" s="59">
        <v>8</v>
      </c>
      <c r="D861" s="59">
        <v>8</v>
      </c>
      <c r="E861" s="60">
        <v>7188</v>
      </c>
      <c r="F861" s="96" t="s">
        <v>1129</v>
      </c>
      <c r="G861" s="61" t="s">
        <v>535</v>
      </c>
      <c r="H861" s="62" t="s">
        <v>535</v>
      </c>
      <c r="I861" s="62" t="s">
        <v>535</v>
      </c>
      <c r="J861" s="62" t="s">
        <v>535</v>
      </c>
    </row>
    <row r="862" spans="1:10" ht="13.5" customHeight="1">
      <c r="A862" s="52">
        <v>7</v>
      </c>
      <c r="B862" s="89">
        <v>1</v>
      </c>
      <c r="C862" s="52">
        <v>9</v>
      </c>
      <c r="D862" s="52">
        <v>0</v>
      </c>
      <c r="E862" s="52">
        <v>7190</v>
      </c>
      <c r="F862" s="97" t="s">
        <v>1130</v>
      </c>
      <c r="G862" s="68"/>
      <c r="H862" s="69"/>
      <c r="I862" s="69"/>
      <c r="J862" s="69"/>
    </row>
    <row r="863" spans="1:10" ht="13.5" customHeight="1">
      <c r="A863" s="55">
        <v>7</v>
      </c>
      <c r="B863" s="91">
        <v>1</v>
      </c>
      <c r="C863" s="55">
        <v>9</v>
      </c>
      <c r="D863" s="55">
        <v>1</v>
      </c>
      <c r="E863" s="56">
        <v>7191</v>
      </c>
      <c r="F863" s="95" t="s">
        <v>1131</v>
      </c>
      <c r="G863" s="70"/>
      <c r="H863" s="193"/>
      <c r="I863" s="193"/>
      <c r="J863" s="193"/>
    </row>
    <row r="864" spans="1:10" ht="13.5" customHeight="1">
      <c r="A864" s="59">
        <v>7</v>
      </c>
      <c r="B864" s="92">
        <v>1</v>
      </c>
      <c r="C864" s="59">
        <v>9</v>
      </c>
      <c r="D864" s="59">
        <v>2</v>
      </c>
      <c r="E864" s="60">
        <v>7192</v>
      </c>
      <c r="F864" s="96" t="s">
        <v>1132</v>
      </c>
      <c r="G864" s="72"/>
      <c r="H864" s="194"/>
      <c r="I864" s="194"/>
      <c r="J864" s="194"/>
    </row>
    <row r="865" spans="1:10" ht="13.5" customHeight="1">
      <c r="A865" s="59">
        <v>7</v>
      </c>
      <c r="B865" s="92">
        <v>1</v>
      </c>
      <c r="C865" s="59">
        <v>9</v>
      </c>
      <c r="D865" s="59">
        <v>3</v>
      </c>
      <c r="E865" s="60">
        <v>7193</v>
      </c>
      <c r="F865" s="96" t="s">
        <v>1133</v>
      </c>
      <c r="G865" s="72"/>
      <c r="H865" s="194"/>
      <c r="I865" s="194"/>
      <c r="J865" s="194"/>
    </row>
    <row r="866" spans="1:10" ht="13.5" customHeight="1">
      <c r="A866" s="59">
        <v>7</v>
      </c>
      <c r="B866" s="92">
        <v>1</v>
      </c>
      <c r="C866" s="59">
        <v>9</v>
      </c>
      <c r="D866" s="59">
        <v>4</v>
      </c>
      <c r="E866" s="60">
        <v>7194</v>
      </c>
      <c r="F866" s="96" t="s">
        <v>1134</v>
      </c>
      <c r="G866" s="72"/>
      <c r="H866" s="194"/>
      <c r="I866" s="194"/>
      <c r="J866" s="194"/>
    </row>
    <row r="867" spans="1:10" ht="13.5" customHeight="1">
      <c r="A867" s="63">
        <v>7</v>
      </c>
      <c r="B867" s="93">
        <v>1</v>
      </c>
      <c r="C867" s="63">
        <v>9</v>
      </c>
      <c r="D867" s="63">
        <v>9</v>
      </c>
      <c r="E867" s="64">
        <v>7199</v>
      </c>
      <c r="F867" s="98" t="s">
        <v>1135</v>
      </c>
      <c r="G867" s="74"/>
      <c r="H867" s="195"/>
      <c r="I867" s="195"/>
      <c r="J867" s="195"/>
    </row>
    <row r="868" spans="1:10" ht="13.5" customHeight="1">
      <c r="A868" s="46">
        <v>7</v>
      </c>
      <c r="B868" s="90">
        <v>2</v>
      </c>
      <c r="C868" s="46">
        <v>0</v>
      </c>
      <c r="D868" s="46">
        <v>0</v>
      </c>
      <c r="E868" s="46">
        <v>7200</v>
      </c>
      <c r="F868" s="99" t="s">
        <v>1136</v>
      </c>
      <c r="G868" s="48" t="s">
        <v>529</v>
      </c>
      <c r="H868" s="49" t="s">
        <v>529</v>
      </c>
      <c r="I868" s="49" t="s">
        <v>529</v>
      </c>
      <c r="J868" s="49" t="s">
        <v>529</v>
      </c>
    </row>
    <row r="869" spans="1:10" ht="13.5" customHeight="1">
      <c r="A869" s="52">
        <v>7</v>
      </c>
      <c r="B869" s="89">
        <v>2</v>
      </c>
      <c r="C869" s="52">
        <v>1</v>
      </c>
      <c r="D869" s="52">
        <v>0</v>
      </c>
      <c r="E869" s="52">
        <v>7210</v>
      </c>
      <c r="F869" s="97" t="s">
        <v>1137</v>
      </c>
      <c r="G869" s="53" t="s">
        <v>529</v>
      </c>
      <c r="H869" s="54" t="s">
        <v>529</v>
      </c>
      <c r="I869" s="54" t="s">
        <v>529</v>
      </c>
      <c r="J869" s="54" t="s">
        <v>529</v>
      </c>
    </row>
    <row r="870" spans="1:10" ht="13.5" customHeight="1">
      <c r="A870" s="55">
        <v>7</v>
      </c>
      <c r="B870" s="91">
        <v>2</v>
      </c>
      <c r="C870" s="55">
        <v>1</v>
      </c>
      <c r="D870" s="55">
        <v>1</v>
      </c>
      <c r="E870" s="56">
        <v>7211</v>
      </c>
      <c r="F870" s="95" t="s">
        <v>1138</v>
      </c>
      <c r="G870" s="57" t="s">
        <v>529</v>
      </c>
      <c r="H870" s="58" t="s">
        <v>529</v>
      </c>
      <c r="I870" s="58" t="s">
        <v>529</v>
      </c>
      <c r="J870" s="58" t="s">
        <v>529</v>
      </c>
    </row>
    <row r="871" spans="1:10" ht="13.5" customHeight="1">
      <c r="A871" s="59">
        <v>7</v>
      </c>
      <c r="B871" s="92">
        <v>2</v>
      </c>
      <c r="C871" s="59">
        <v>1</v>
      </c>
      <c r="D871" s="59">
        <v>2</v>
      </c>
      <c r="E871" s="60">
        <v>7212</v>
      </c>
      <c r="F871" s="96" t="s">
        <v>1139</v>
      </c>
      <c r="G871" s="61" t="s">
        <v>529</v>
      </c>
      <c r="H871" s="62" t="s">
        <v>529</v>
      </c>
      <c r="I871" s="62" t="s">
        <v>529</v>
      </c>
      <c r="J871" s="62" t="s">
        <v>529</v>
      </c>
    </row>
    <row r="872" spans="1:10" ht="13.5" customHeight="1">
      <c r="A872" s="59">
        <v>7</v>
      </c>
      <c r="B872" s="92">
        <v>2</v>
      </c>
      <c r="C872" s="59">
        <v>1</v>
      </c>
      <c r="D872" s="59">
        <v>3</v>
      </c>
      <c r="E872" s="60">
        <v>7213</v>
      </c>
      <c r="F872" s="96" t="s">
        <v>1140</v>
      </c>
      <c r="G872" s="61" t="s">
        <v>529</v>
      </c>
      <c r="H872" s="62" t="s">
        <v>529</v>
      </c>
      <c r="I872" s="62" t="s">
        <v>529</v>
      </c>
      <c r="J872" s="62" t="s">
        <v>529</v>
      </c>
    </row>
    <row r="873" spans="1:10" ht="13.5" customHeight="1">
      <c r="A873" s="59">
        <v>7</v>
      </c>
      <c r="B873" s="92">
        <v>2</v>
      </c>
      <c r="C873" s="59">
        <v>1</v>
      </c>
      <c r="D873" s="59">
        <v>4</v>
      </c>
      <c r="E873" s="60">
        <v>7214</v>
      </c>
      <c r="F873" s="96" t="s">
        <v>1141</v>
      </c>
      <c r="G873" s="61" t="s">
        <v>529</v>
      </c>
      <c r="H873" s="62" t="s">
        <v>529</v>
      </c>
      <c r="I873" s="62" t="s">
        <v>529</v>
      </c>
      <c r="J873" s="62" t="s">
        <v>529</v>
      </c>
    </row>
    <row r="874" spans="1:10" ht="13.5" customHeight="1">
      <c r="A874" s="59">
        <v>7</v>
      </c>
      <c r="B874" s="92">
        <v>2</v>
      </c>
      <c r="C874" s="59">
        <v>1</v>
      </c>
      <c r="D874" s="59">
        <v>5</v>
      </c>
      <c r="E874" s="60">
        <v>7215</v>
      </c>
      <c r="F874" s="96" t="s">
        <v>1142</v>
      </c>
      <c r="G874" s="61" t="s">
        <v>529</v>
      </c>
      <c r="H874" s="62" t="s">
        <v>529</v>
      </c>
      <c r="I874" s="62" t="s">
        <v>529</v>
      </c>
      <c r="J874" s="62" t="s">
        <v>529</v>
      </c>
    </row>
    <row r="875" spans="1:10" ht="13.5" customHeight="1">
      <c r="A875" s="59">
        <v>7</v>
      </c>
      <c r="B875" s="92">
        <v>2</v>
      </c>
      <c r="C875" s="59">
        <v>1</v>
      </c>
      <c r="D875" s="59">
        <v>6</v>
      </c>
      <c r="E875" s="60">
        <v>7216</v>
      </c>
      <c r="F875" s="96" t="s">
        <v>1143</v>
      </c>
      <c r="G875" s="61" t="s">
        <v>529</v>
      </c>
      <c r="H875" s="62" t="s">
        <v>529</v>
      </c>
      <c r="I875" s="62" t="s">
        <v>529</v>
      </c>
      <c r="J875" s="62" t="s">
        <v>529</v>
      </c>
    </row>
    <row r="876" spans="1:10" ht="13.5" customHeight="1">
      <c r="A876" s="59">
        <v>7</v>
      </c>
      <c r="B876" s="92">
        <v>2</v>
      </c>
      <c r="C876" s="59">
        <v>1</v>
      </c>
      <c r="D876" s="59">
        <v>7</v>
      </c>
      <c r="E876" s="60">
        <v>7217</v>
      </c>
      <c r="F876" s="96" t="s">
        <v>1144</v>
      </c>
      <c r="G876" s="61" t="s">
        <v>529</v>
      </c>
      <c r="H876" s="62" t="s">
        <v>529</v>
      </c>
      <c r="I876" s="62" t="s">
        <v>529</v>
      </c>
      <c r="J876" s="62" t="s">
        <v>529</v>
      </c>
    </row>
    <row r="877" spans="1:10" ht="13.5" customHeight="1">
      <c r="A877" s="59">
        <v>7</v>
      </c>
      <c r="B877" s="92">
        <v>2</v>
      </c>
      <c r="C877" s="59">
        <v>1</v>
      </c>
      <c r="D877" s="59">
        <v>8</v>
      </c>
      <c r="E877" s="60">
        <v>7218</v>
      </c>
      <c r="F877" s="96" t="s">
        <v>1145</v>
      </c>
      <c r="G877" s="61" t="s">
        <v>529</v>
      </c>
      <c r="H877" s="62" t="s">
        <v>529</v>
      </c>
      <c r="I877" s="62" t="s">
        <v>529</v>
      </c>
      <c r="J877" s="62" t="s">
        <v>529</v>
      </c>
    </row>
    <row r="878" spans="1:10" ht="13.5" customHeight="1">
      <c r="A878" s="63">
        <v>7</v>
      </c>
      <c r="B878" s="93">
        <v>2</v>
      </c>
      <c r="C878" s="63">
        <v>1</v>
      </c>
      <c r="D878" s="63">
        <v>9</v>
      </c>
      <c r="E878" s="64">
        <v>7219</v>
      </c>
      <c r="F878" s="98" t="s">
        <v>1146</v>
      </c>
      <c r="G878" s="65" t="s">
        <v>529</v>
      </c>
      <c r="H878" s="66" t="s">
        <v>529</v>
      </c>
      <c r="I878" s="66" t="s">
        <v>529</v>
      </c>
      <c r="J878" s="66" t="s">
        <v>529</v>
      </c>
    </row>
    <row r="879" spans="1:10" ht="13.5" customHeight="1">
      <c r="A879" s="52">
        <v>7</v>
      </c>
      <c r="B879" s="89">
        <v>2</v>
      </c>
      <c r="C879" s="52">
        <v>2</v>
      </c>
      <c r="D879" s="52">
        <v>0</v>
      </c>
      <c r="E879" s="52">
        <v>7220</v>
      </c>
      <c r="F879" s="97" t="s">
        <v>1147</v>
      </c>
      <c r="G879" s="53" t="s">
        <v>529</v>
      </c>
      <c r="H879" s="54" t="s">
        <v>529</v>
      </c>
      <c r="I879" s="54" t="s">
        <v>529</v>
      </c>
      <c r="J879" s="54" t="s">
        <v>529</v>
      </c>
    </row>
    <row r="880" spans="1:10" ht="13.5" customHeight="1">
      <c r="A880" s="55">
        <v>7</v>
      </c>
      <c r="B880" s="91">
        <v>2</v>
      </c>
      <c r="C880" s="55">
        <v>2</v>
      </c>
      <c r="D880" s="55">
        <v>1</v>
      </c>
      <c r="E880" s="56">
        <v>7221</v>
      </c>
      <c r="F880" s="95" t="s">
        <v>1148</v>
      </c>
      <c r="G880" s="57" t="s">
        <v>529</v>
      </c>
      <c r="H880" s="58" t="s">
        <v>529</v>
      </c>
      <c r="I880" s="58" t="s">
        <v>529</v>
      </c>
      <c r="J880" s="58" t="s">
        <v>529</v>
      </c>
    </row>
    <row r="881" spans="1:10" ht="13.5" customHeight="1">
      <c r="A881" s="59">
        <v>7</v>
      </c>
      <c r="B881" s="92">
        <v>2</v>
      </c>
      <c r="C881" s="59">
        <v>2</v>
      </c>
      <c r="D881" s="59">
        <v>2</v>
      </c>
      <c r="E881" s="60">
        <v>7222</v>
      </c>
      <c r="F881" s="96" t="s">
        <v>1149</v>
      </c>
      <c r="G881" s="61" t="s">
        <v>529</v>
      </c>
      <c r="H881" s="62" t="s">
        <v>529</v>
      </c>
      <c r="I881" s="62" t="s">
        <v>529</v>
      </c>
      <c r="J881" s="62" t="s">
        <v>529</v>
      </c>
    </row>
    <row r="882" spans="1:10" ht="13.5" customHeight="1">
      <c r="A882" s="59">
        <v>7</v>
      </c>
      <c r="B882" s="92">
        <v>2</v>
      </c>
      <c r="C882" s="59">
        <v>2</v>
      </c>
      <c r="D882" s="59">
        <v>3</v>
      </c>
      <c r="E882" s="60">
        <v>7223</v>
      </c>
      <c r="F882" s="96" t="s">
        <v>1150</v>
      </c>
      <c r="G882" s="61" t="s">
        <v>529</v>
      </c>
      <c r="H882" s="62" t="s">
        <v>529</v>
      </c>
      <c r="I882" s="62" t="s">
        <v>529</v>
      </c>
      <c r="J882" s="62" t="s">
        <v>529</v>
      </c>
    </row>
    <row r="883" spans="1:10" ht="13.5" customHeight="1">
      <c r="A883" s="59">
        <v>7</v>
      </c>
      <c r="B883" s="92">
        <v>2</v>
      </c>
      <c r="C883" s="59">
        <v>2</v>
      </c>
      <c r="D883" s="59">
        <v>4</v>
      </c>
      <c r="E883" s="60">
        <v>7224</v>
      </c>
      <c r="F883" s="96" t="s">
        <v>1151</v>
      </c>
      <c r="G883" s="61" t="s">
        <v>529</v>
      </c>
      <c r="H883" s="62" t="s">
        <v>529</v>
      </c>
      <c r="I883" s="62" t="s">
        <v>529</v>
      </c>
      <c r="J883" s="62" t="s">
        <v>529</v>
      </c>
    </row>
    <row r="884" spans="1:10" ht="13.5" customHeight="1">
      <c r="A884" s="59">
        <v>7</v>
      </c>
      <c r="B884" s="92">
        <v>2</v>
      </c>
      <c r="C884" s="59">
        <v>2</v>
      </c>
      <c r="D884" s="59">
        <v>5</v>
      </c>
      <c r="E884" s="60">
        <v>7225</v>
      </c>
      <c r="F884" s="96" t="s">
        <v>1152</v>
      </c>
      <c r="G884" s="61" t="s">
        <v>529</v>
      </c>
      <c r="H884" s="62" t="s">
        <v>529</v>
      </c>
      <c r="I884" s="62" t="s">
        <v>529</v>
      </c>
      <c r="J884" s="62" t="s">
        <v>529</v>
      </c>
    </row>
    <row r="885" spans="1:10" ht="13.5" customHeight="1">
      <c r="A885" s="59">
        <v>7</v>
      </c>
      <c r="B885" s="92">
        <v>2</v>
      </c>
      <c r="C885" s="59">
        <v>2</v>
      </c>
      <c r="D885" s="59">
        <v>6</v>
      </c>
      <c r="E885" s="60">
        <v>7226</v>
      </c>
      <c r="F885" s="96" t="s">
        <v>1062</v>
      </c>
      <c r="G885" s="61" t="s">
        <v>529</v>
      </c>
      <c r="H885" s="62" t="s">
        <v>529</v>
      </c>
      <c r="I885" s="62" t="s">
        <v>529</v>
      </c>
      <c r="J885" s="62" t="s">
        <v>529</v>
      </c>
    </row>
    <row r="886" spans="1:10" ht="13.5" customHeight="1">
      <c r="A886" s="59">
        <v>7</v>
      </c>
      <c r="B886" s="92">
        <v>2</v>
      </c>
      <c r="C886" s="59">
        <v>2</v>
      </c>
      <c r="D886" s="59">
        <v>7</v>
      </c>
      <c r="E886" s="60">
        <v>7227</v>
      </c>
      <c r="F886" s="96" t="s">
        <v>1153</v>
      </c>
      <c r="G886" s="61" t="s">
        <v>529</v>
      </c>
      <c r="H886" s="62" t="s">
        <v>529</v>
      </c>
      <c r="I886" s="62" t="s">
        <v>529</v>
      </c>
      <c r="J886" s="62" t="s">
        <v>529</v>
      </c>
    </row>
    <row r="887" spans="1:10" ht="13.5" customHeight="1">
      <c r="A887" s="59">
        <v>7</v>
      </c>
      <c r="B887" s="92">
        <v>2</v>
      </c>
      <c r="C887" s="59">
        <v>2</v>
      </c>
      <c r="D887" s="59">
        <v>8</v>
      </c>
      <c r="E887" s="60">
        <v>7228</v>
      </c>
      <c r="F887" s="96" t="s">
        <v>1064</v>
      </c>
      <c r="G887" s="61" t="s">
        <v>529</v>
      </c>
      <c r="H887" s="62" t="s">
        <v>529</v>
      </c>
      <c r="I887" s="62" t="s">
        <v>529</v>
      </c>
      <c r="J887" s="62" t="s">
        <v>529</v>
      </c>
    </row>
    <row r="888" spans="1:10" ht="13.5" customHeight="1">
      <c r="A888" s="63">
        <v>7</v>
      </c>
      <c r="B888" s="93">
        <v>2</v>
      </c>
      <c r="C888" s="63">
        <v>2</v>
      </c>
      <c r="D888" s="63">
        <v>9</v>
      </c>
      <c r="E888" s="64">
        <v>7229</v>
      </c>
      <c r="F888" s="98" t="s">
        <v>1154</v>
      </c>
      <c r="G888" s="65" t="s">
        <v>529</v>
      </c>
      <c r="H888" s="66" t="s">
        <v>529</v>
      </c>
      <c r="I888" s="66" t="s">
        <v>529</v>
      </c>
      <c r="J888" s="66" t="s">
        <v>529</v>
      </c>
    </row>
    <row r="889" spans="1:10" ht="13.5" customHeight="1">
      <c r="A889" s="52">
        <v>7</v>
      </c>
      <c r="B889" s="89">
        <v>2</v>
      </c>
      <c r="C889" s="52">
        <v>3</v>
      </c>
      <c r="D889" s="52">
        <v>0</v>
      </c>
      <c r="E889" s="52">
        <v>7230</v>
      </c>
      <c r="F889" s="97" t="s">
        <v>1155</v>
      </c>
      <c r="G889" s="53" t="s">
        <v>529</v>
      </c>
      <c r="H889" s="54" t="s">
        <v>529</v>
      </c>
      <c r="I889" s="54" t="s">
        <v>529</v>
      </c>
      <c r="J889" s="54" t="s">
        <v>529</v>
      </c>
    </row>
    <row r="890" spans="1:10" ht="13.5" customHeight="1">
      <c r="A890" s="55">
        <v>7</v>
      </c>
      <c r="B890" s="91">
        <v>2</v>
      </c>
      <c r="C890" s="55">
        <v>3</v>
      </c>
      <c r="D890" s="55">
        <v>1</v>
      </c>
      <c r="E890" s="56">
        <v>7231</v>
      </c>
      <c r="F890" s="95" t="s">
        <v>1156</v>
      </c>
      <c r="G890" s="57" t="s">
        <v>529</v>
      </c>
      <c r="H890" s="58" t="s">
        <v>529</v>
      </c>
      <c r="I890" s="58" t="s">
        <v>529</v>
      </c>
      <c r="J890" s="58" t="s">
        <v>529</v>
      </c>
    </row>
    <row r="891" spans="1:10" ht="13.5" customHeight="1">
      <c r="A891" s="59">
        <v>7</v>
      </c>
      <c r="B891" s="92">
        <v>2</v>
      </c>
      <c r="C891" s="59">
        <v>3</v>
      </c>
      <c r="D891" s="59">
        <v>2</v>
      </c>
      <c r="E891" s="60">
        <v>7232</v>
      </c>
      <c r="F891" s="96" t="s">
        <v>1157</v>
      </c>
      <c r="G891" s="61" t="s">
        <v>529</v>
      </c>
      <c r="H891" s="62" t="s">
        <v>529</v>
      </c>
      <c r="I891" s="62" t="s">
        <v>529</v>
      </c>
      <c r="J891" s="62" t="s">
        <v>529</v>
      </c>
    </row>
    <row r="892" spans="1:10" ht="13.5" customHeight="1">
      <c r="A892" s="59">
        <v>7</v>
      </c>
      <c r="B892" s="92">
        <v>2</v>
      </c>
      <c r="C892" s="59">
        <v>3</v>
      </c>
      <c r="D892" s="59">
        <v>3</v>
      </c>
      <c r="E892" s="60">
        <v>7233</v>
      </c>
      <c r="F892" s="96" t="s">
        <v>1158</v>
      </c>
      <c r="G892" s="61" t="s">
        <v>529</v>
      </c>
      <c r="H892" s="62" t="s">
        <v>529</v>
      </c>
      <c r="I892" s="62" t="s">
        <v>529</v>
      </c>
      <c r="J892" s="62" t="s">
        <v>529</v>
      </c>
    </row>
    <row r="893" spans="1:10" ht="13.5" customHeight="1">
      <c r="A893" s="59">
        <v>7</v>
      </c>
      <c r="B893" s="92">
        <v>2</v>
      </c>
      <c r="C893" s="59">
        <v>3</v>
      </c>
      <c r="D893" s="59">
        <v>4</v>
      </c>
      <c r="E893" s="60">
        <v>7234</v>
      </c>
      <c r="F893" s="96" t="s">
        <v>1159</v>
      </c>
      <c r="G893" s="61" t="s">
        <v>529</v>
      </c>
      <c r="H893" s="62" t="s">
        <v>529</v>
      </c>
      <c r="I893" s="62" t="s">
        <v>529</v>
      </c>
      <c r="J893" s="62" t="s">
        <v>529</v>
      </c>
    </row>
    <row r="894" spans="1:10" ht="13.5" customHeight="1">
      <c r="A894" s="59">
        <v>7</v>
      </c>
      <c r="B894" s="92">
        <v>2</v>
      </c>
      <c r="C894" s="59">
        <v>3</v>
      </c>
      <c r="D894" s="59">
        <v>5</v>
      </c>
      <c r="E894" s="60">
        <v>7235</v>
      </c>
      <c r="F894" s="96" t="s">
        <v>1160</v>
      </c>
      <c r="G894" s="61" t="s">
        <v>529</v>
      </c>
      <c r="H894" s="62" t="s">
        <v>529</v>
      </c>
      <c r="I894" s="62" t="s">
        <v>529</v>
      </c>
      <c r="J894" s="62" t="s">
        <v>529</v>
      </c>
    </row>
    <row r="895" spans="1:10" ht="13.5" customHeight="1">
      <c r="A895" s="59">
        <v>7</v>
      </c>
      <c r="B895" s="92">
        <v>2</v>
      </c>
      <c r="C895" s="59">
        <v>3</v>
      </c>
      <c r="D895" s="59">
        <v>6</v>
      </c>
      <c r="E895" s="60">
        <v>7236</v>
      </c>
      <c r="F895" s="96" t="s">
        <v>990</v>
      </c>
      <c r="G895" s="61" t="s">
        <v>529</v>
      </c>
      <c r="H895" s="62" t="s">
        <v>529</v>
      </c>
      <c r="I895" s="62" t="s">
        <v>529</v>
      </c>
      <c r="J895" s="62" t="s">
        <v>529</v>
      </c>
    </row>
    <row r="896" spans="1:10" ht="13.5" customHeight="1">
      <c r="A896" s="63">
        <v>7</v>
      </c>
      <c r="B896" s="93">
        <v>2</v>
      </c>
      <c r="C896" s="63">
        <v>3</v>
      </c>
      <c r="D896" s="63">
        <v>9</v>
      </c>
      <c r="E896" s="64">
        <v>7239</v>
      </c>
      <c r="F896" s="98" t="s">
        <v>1146</v>
      </c>
      <c r="G896" s="65" t="s">
        <v>529</v>
      </c>
      <c r="H896" s="66" t="s">
        <v>529</v>
      </c>
      <c r="I896" s="66" t="s">
        <v>529</v>
      </c>
      <c r="J896" s="66" t="s">
        <v>529</v>
      </c>
    </row>
    <row r="897" spans="1:10" ht="13.5" customHeight="1">
      <c r="A897" s="52">
        <v>7</v>
      </c>
      <c r="B897" s="89">
        <v>2</v>
      </c>
      <c r="C897" s="52">
        <v>4</v>
      </c>
      <c r="D897" s="52">
        <v>0</v>
      </c>
      <c r="E897" s="52">
        <v>7240</v>
      </c>
      <c r="F897" s="97" t="s">
        <v>1161</v>
      </c>
      <c r="G897" s="53" t="s">
        <v>529</v>
      </c>
      <c r="H897" s="54" t="s">
        <v>529</v>
      </c>
      <c r="I897" s="54" t="s">
        <v>529</v>
      </c>
      <c r="J897" s="54" t="s">
        <v>529</v>
      </c>
    </row>
    <row r="898" spans="1:10" ht="13.5" customHeight="1">
      <c r="A898" s="55">
        <v>7</v>
      </c>
      <c r="B898" s="91">
        <v>2</v>
      </c>
      <c r="C898" s="55">
        <v>4</v>
      </c>
      <c r="D898" s="55">
        <v>1</v>
      </c>
      <c r="E898" s="56">
        <v>7241</v>
      </c>
      <c r="F898" s="95" t="s">
        <v>1055</v>
      </c>
      <c r="G898" s="57" t="s">
        <v>529</v>
      </c>
      <c r="H898" s="58" t="s">
        <v>529</v>
      </c>
      <c r="I898" s="58" t="s">
        <v>529</v>
      </c>
      <c r="J898" s="58" t="s">
        <v>529</v>
      </c>
    </row>
    <row r="899" spans="1:10" ht="13.5" customHeight="1">
      <c r="A899" s="59">
        <v>7</v>
      </c>
      <c r="B899" s="92">
        <v>2</v>
      </c>
      <c r="C899" s="59">
        <v>4</v>
      </c>
      <c r="D899" s="59">
        <v>2</v>
      </c>
      <c r="E899" s="60">
        <v>7242</v>
      </c>
      <c r="F899" s="96" t="s">
        <v>1056</v>
      </c>
      <c r="G899" s="61" t="s">
        <v>529</v>
      </c>
      <c r="H899" s="62" t="s">
        <v>529</v>
      </c>
      <c r="I899" s="62" t="s">
        <v>529</v>
      </c>
      <c r="J899" s="62" t="s">
        <v>529</v>
      </c>
    </row>
    <row r="900" spans="1:10" ht="13.5" customHeight="1">
      <c r="A900" s="59">
        <v>7</v>
      </c>
      <c r="B900" s="92">
        <v>2</v>
      </c>
      <c r="C900" s="59">
        <v>4</v>
      </c>
      <c r="D900" s="59">
        <v>3</v>
      </c>
      <c r="E900" s="60">
        <v>7243</v>
      </c>
      <c r="F900" s="96" t="s">
        <v>1162</v>
      </c>
      <c r="G900" s="61" t="s">
        <v>529</v>
      </c>
      <c r="H900" s="62" t="s">
        <v>529</v>
      </c>
      <c r="I900" s="62" t="s">
        <v>529</v>
      </c>
      <c r="J900" s="62" t="s">
        <v>529</v>
      </c>
    </row>
    <row r="901" spans="1:10" ht="13.5" customHeight="1">
      <c r="A901" s="59">
        <v>7</v>
      </c>
      <c r="B901" s="92">
        <v>2</v>
      </c>
      <c r="C901" s="59">
        <v>4</v>
      </c>
      <c r="D901" s="59">
        <v>4</v>
      </c>
      <c r="E901" s="60">
        <v>7244</v>
      </c>
      <c r="F901" s="96" t="s">
        <v>574</v>
      </c>
      <c r="G901" s="61" t="s">
        <v>529</v>
      </c>
      <c r="H901" s="62" t="s">
        <v>529</v>
      </c>
      <c r="I901" s="62" t="s">
        <v>529</v>
      </c>
      <c r="J901" s="62" t="s">
        <v>529</v>
      </c>
    </row>
    <row r="902" spans="1:10" ht="13.5" customHeight="1">
      <c r="A902" s="59">
        <v>7</v>
      </c>
      <c r="B902" s="92">
        <v>2</v>
      </c>
      <c r="C902" s="59">
        <v>4</v>
      </c>
      <c r="D902" s="59">
        <v>5</v>
      </c>
      <c r="E902" s="60">
        <v>7245</v>
      </c>
      <c r="F902" s="96" t="s">
        <v>1163</v>
      </c>
      <c r="G902" s="61" t="s">
        <v>529</v>
      </c>
      <c r="H902" s="62" t="s">
        <v>529</v>
      </c>
      <c r="I902" s="62" t="s">
        <v>529</v>
      </c>
      <c r="J902" s="62" t="s">
        <v>529</v>
      </c>
    </row>
    <row r="903" spans="1:10" ht="13.5" customHeight="1">
      <c r="A903" s="59">
        <v>7</v>
      </c>
      <c r="B903" s="92">
        <v>2</v>
      </c>
      <c r="C903" s="59">
        <v>4</v>
      </c>
      <c r="D903" s="59">
        <v>6</v>
      </c>
      <c r="E903" s="60">
        <v>7246</v>
      </c>
      <c r="F903" s="96" t="s">
        <v>1164</v>
      </c>
      <c r="G903" s="61" t="s">
        <v>529</v>
      </c>
      <c r="H903" s="62" t="s">
        <v>529</v>
      </c>
      <c r="I903" s="62" t="s">
        <v>529</v>
      </c>
      <c r="J903" s="62" t="s">
        <v>529</v>
      </c>
    </row>
    <row r="904" spans="1:10" ht="13.5" customHeight="1">
      <c r="A904" s="59">
        <v>7</v>
      </c>
      <c r="B904" s="92">
        <v>2</v>
      </c>
      <c r="C904" s="59">
        <v>4</v>
      </c>
      <c r="D904" s="59">
        <v>7</v>
      </c>
      <c r="E904" s="60">
        <v>7247</v>
      </c>
      <c r="F904" s="96" t="s">
        <v>970</v>
      </c>
      <c r="G904" s="61" t="s">
        <v>529</v>
      </c>
      <c r="H904" s="62" t="s">
        <v>529</v>
      </c>
      <c r="I904" s="62" t="s">
        <v>529</v>
      </c>
      <c r="J904" s="62" t="s">
        <v>529</v>
      </c>
    </row>
    <row r="905" spans="1:10" ht="13.5" customHeight="1">
      <c r="A905" s="59">
        <v>7</v>
      </c>
      <c r="B905" s="92">
        <v>2</v>
      </c>
      <c r="C905" s="59">
        <v>4</v>
      </c>
      <c r="D905" s="59">
        <v>8</v>
      </c>
      <c r="E905" s="60">
        <v>7248</v>
      </c>
      <c r="F905" s="96" t="s">
        <v>1011</v>
      </c>
      <c r="G905" s="61" t="s">
        <v>529</v>
      </c>
      <c r="H905" s="62" t="s">
        <v>529</v>
      </c>
      <c r="I905" s="62" t="s">
        <v>529</v>
      </c>
      <c r="J905" s="62" t="s">
        <v>529</v>
      </c>
    </row>
    <row r="906" spans="1:10" ht="13.5" customHeight="1">
      <c r="A906" s="63">
        <v>7</v>
      </c>
      <c r="B906" s="93">
        <v>2</v>
      </c>
      <c r="C906" s="63">
        <v>4</v>
      </c>
      <c r="D906" s="63">
        <v>9</v>
      </c>
      <c r="E906" s="64">
        <v>7249</v>
      </c>
      <c r="F906" s="98" t="s">
        <v>1146</v>
      </c>
      <c r="G906" s="65" t="s">
        <v>529</v>
      </c>
      <c r="H906" s="66" t="s">
        <v>529</v>
      </c>
      <c r="I906" s="66" t="s">
        <v>529</v>
      </c>
      <c r="J906" s="66" t="s">
        <v>529</v>
      </c>
    </row>
    <row r="907" spans="1:10" ht="13.5" customHeight="1">
      <c r="A907" s="52">
        <v>7</v>
      </c>
      <c r="B907" s="89">
        <v>2</v>
      </c>
      <c r="C907" s="52">
        <v>5</v>
      </c>
      <c r="D907" s="52">
        <v>0</v>
      </c>
      <c r="E907" s="52">
        <v>7250</v>
      </c>
      <c r="F907" s="97" t="s">
        <v>1165</v>
      </c>
      <c r="G907" s="53" t="s">
        <v>529</v>
      </c>
      <c r="H907" s="54" t="s">
        <v>529</v>
      </c>
      <c r="I907" s="54" t="s">
        <v>529</v>
      </c>
      <c r="J907" s="54" t="s">
        <v>529</v>
      </c>
    </row>
    <row r="908" spans="1:10" ht="13.5" customHeight="1">
      <c r="A908" s="55">
        <v>7</v>
      </c>
      <c r="B908" s="91">
        <v>2</v>
      </c>
      <c r="C908" s="55">
        <v>5</v>
      </c>
      <c r="D908" s="55">
        <v>1</v>
      </c>
      <c r="E908" s="56">
        <v>7251</v>
      </c>
      <c r="F908" s="95" t="s">
        <v>1166</v>
      </c>
      <c r="G908" s="57" t="s">
        <v>529</v>
      </c>
      <c r="H908" s="58" t="s">
        <v>529</v>
      </c>
      <c r="I908" s="58" t="s">
        <v>529</v>
      </c>
      <c r="J908" s="58" t="s">
        <v>529</v>
      </c>
    </row>
    <row r="909" spans="1:10" ht="13.5" customHeight="1">
      <c r="A909" s="59">
        <v>7</v>
      </c>
      <c r="B909" s="92">
        <v>2</v>
      </c>
      <c r="C909" s="59">
        <v>5</v>
      </c>
      <c r="D909" s="59">
        <v>2</v>
      </c>
      <c r="E909" s="60">
        <v>7252</v>
      </c>
      <c r="F909" s="96" t="s">
        <v>1167</v>
      </c>
      <c r="G909" s="61" t="s">
        <v>529</v>
      </c>
      <c r="H909" s="62" t="s">
        <v>529</v>
      </c>
      <c r="I909" s="62" t="s">
        <v>529</v>
      </c>
      <c r="J909" s="62" t="s">
        <v>529</v>
      </c>
    </row>
    <row r="910" spans="1:10" ht="13.5" customHeight="1">
      <c r="A910" s="59">
        <v>7</v>
      </c>
      <c r="B910" s="92">
        <v>2</v>
      </c>
      <c r="C910" s="59">
        <v>5</v>
      </c>
      <c r="D910" s="59">
        <v>3</v>
      </c>
      <c r="E910" s="60">
        <v>7253</v>
      </c>
      <c r="F910" s="96" t="s">
        <v>1168</v>
      </c>
      <c r="G910" s="61" t="s">
        <v>529</v>
      </c>
      <c r="H910" s="62" t="s">
        <v>529</v>
      </c>
      <c r="I910" s="62" t="s">
        <v>529</v>
      </c>
      <c r="J910" s="62" t="s">
        <v>529</v>
      </c>
    </row>
    <row r="911" spans="1:10" ht="13.5" customHeight="1">
      <c r="A911" s="59">
        <v>7</v>
      </c>
      <c r="B911" s="92">
        <v>2</v>
      </c>
      <c r="C911" s="59">
        <v>5</v>
      </c>
      <c r="D911" s="59">
        <v>4</v>
      </c>
      <c r="E911" s="60">
        <v>7254</v>
      </c>
      <c r="F911" s="96" t="s">
        <v>1169</v>
      </c>
      <c r="G911" s="61" t="s">
        <v>529</v>
      </c>
      <c r="H911" s="62" t="s">
        <v>529</v>
      </c>
      <c r="I911" s="62" t="s">
        <v>529</v>
      </c>
      <c r="J911" s="62" t="s">
        <v>529</v>
      </c>
    </row>
    <row r="912" spans="1:10" ht="13.5" customHeight="1">
      <c r="A912" s="59">
        <v>7</v>
      </c>
      <c r="B912" s="92">
        <v>2</v>
      </c>
      <c r="C912" s="59">
        <v>5</v>
      </c>
      <c r="D912" s="59">
        <v>5</v>
      </c>
      <c r="E912" s="60">
        <v>7255</v>
      </c>
      <c r="F912" s="96" t="s">
        <v>1170</v>
      </c>
      <c r="G912" s="61" t="s">
        <v>529</v>
      </c>
      <c r="H912" s="62" t="s">
        <v>529</v>
      </c>
      <c r="I912" s="62" t="s">
        <v>529</v>
      </c>
      <c r="J912" s="62" t="s">
        <v>529</v>
      </c>
    </row>
    <row r="913" spans="1:10" ht="13.5" customHeight="1">
      <c r="A913" s="59">
        <v>7</v>
      </c>
      <c r="B913" s="92">
        <v>2</v>
      </c>
      <c r="C913" s="59">
        <v>5</v>
      </c>
      <c r="D913" s="59">
        <v>6</v>
      </c>
      <c r="E913" s="60">
        <v>7256</v>
      </c>
      <c r="F913" s="96" t="s">
        <v>1171</v>
      </c>
      <c r="G913" s="61" t="s">
        <v>529</v>
      </c>
      <c r="H913" s="62" t="s">
        <v>529</v>
      </c>
      <c r="I913" s="62" t="s">
        <v>529</v>
      </c>
      <c r="J913" s="62" t="s">
        <v>529</v>
      </c>
    </row>
    <row r="914" spans="1:10" ht="13.5" customHeight="1">
      <c r="A914" s="59">
        <v>7</v>
      </c>
      <c r="B914" s="92">
        <v>2</v>
      </c>
      <c r="C914" s="59">
        <v>5</v>
      </c>
      <c r="D914" s="59">
        <v>7</v>
      </c>
      <c r="E914" s="60">
        <v>7257</v>
      </c>
      <c r="F914" s="96" t="s">
        <v>1172</v>
      </c>
      <c r="G914" s="61" t="s">
        <v>529</v>
      </c>
      <c r="H914" s="62" t="s">
        <v>529</v>
      </c>
      <c r="I914" s="62" t="s">
        <v>529</v>
      </c>
      <c r="J914" s="62" t="s">
        <v>529</v>
      </c>
    </row>
    <row r="915" spans="1:10" ht="13.5" customHeight="1">
      <c r="A915" s="63">
        <v>7</v>
      </c>
      <c r="B915" s="93">
        <v>2</v>
      </c>
      <c r="C915" s="63">
        <v>5</v>
      </c>
      <c r="D915" s="63">
        <v>9</v>
      </c>
      <c r="E915" s="64">
        <v>7259</v>
      </c>
      <c r="F915" s="98" t="s">
        <v>1146</v>
      </c>
      <c r="G915" s="65" t="s">
        <v>529</v>
      </c>
      <c r="H915" s="66" t="s">
        <v>529</v>
      </c>
      <c r="I915" s="66" t="s">
        <v>529</v>
      </c>
      <c r="J915" s="66" t="s">
        <v>529</v>
      </c>
    </row>
    <row r="916" spans="1:10" ht="13.5" customHeight="1">
      <c r="A916" s="52">
        <v>7</v>
      </c>
      <c r="B916" s="89">
        <v>2</v>
      </c>
      <c r="C916" s="52">
        <v>6</v>
      </c>
      <c r="D916" s="52">
        <v>0</v>
      </c>
      <c r="E916" s="52">
        <v>7260</v>
      </c>
      <c r="F916" s="97" t="s">
        <v>1173</v>
      </c>
      <c r="G916" s="53" t="s">
        <v>529</v>
      </c>
      <c r="H916" s="54" t="s">
        <v>529</v>
      </c>
      <c r="I916" s="54" t="s">
        <v>529</v>
      </c>
      <c r="J916" s="54" t="s">
        <v>529</v>
      </c>
    </row>
    <row r="917" spans="1:10" ht="13.5" customHeight="1">
      <c r="A917" s="55">
        <v>7</v>
      </c>
      <c r="B917" s="91">
        <v>2</v>
      </c>
      <c r="C917" s="55">
        <v>6</v>
      </c>
      <c r="D917" s="55">
        <v>1</v>
      </c>
      <c r="E917" s="56">
        <v>7261</v>
      </c>
      <c r="F917" s="95" t="s">
        <v>1166</v>
      </c>
      <c r="G917" s="57" t="s">
        <v>529</v>
      </c>
      <c r="H917" s="58" t="s">
        <v>529</v>
      </c>
      <c r="I917" s="58" t="s">
        <v>529</v>
      </c>
      <c r="J917" s="58" t="s">
        <v>529</v>
      </c>
    </row>
    <row r="918" spans="1:10" ht="13.5" customHeight="1">
      <c r="A918" s="59">
        <v>7</v>
      </c>
      <c r="B918" s="92">
        <v>2</v>
      </c>
      <c r="C918" s="59">
        <v>6</v>
      </c>
      <c r="D918" s="59">
        <v>2</v>
      </c>
      <c r="E918" s="60">
        <v>7262</v>
      </c>
      <c r="F918" s="96" t="s">
        <v>1167</v>
      </c>
      <c r="G918" s="61" t="s">
        <v>529</v>
      </c>
      <c r="H918" s="62" t="s">
        <v>529</v>
      </c>
      <c r="I918" s="62" t="s">
        <v>529</v>
      </c>
      <c r="J918" s="62" t="s">
        <v>529</v>
      </c>
    </row>
    <row r="919" spans="1:10" ht="13.5" customHeight="1">
      <c r="A919" s="59">
        <v>7</v>
      </c>
      <c r="B919" s="92">
        <v>2</v>
      </c>
      <c r="C919" s="59">
        <v>6</v>
      </c>
      <c r="D919" s="59">
        <v>3</v>
      </c>
      <c r="E919" s="60">
        <v>7263</v>
      </c>
      <c r="F919" s="96" t="s">
        <v>1174</v>
      </c>
      <c r="G919" s="61" t="s">
        <v>529</v>
      </c>
      <c r="H919" s="62" t="s">
        <v>529</v>
      </c>
      <c r="I919" s="62" t="s">
        <v>529</v>
      </c>
      <c r="J919" s="62" t="s">
        <v>529</v>
      </c>
    </row>
    <row r="920" spans="1:10" ht="13.5" customHeight="1">
      <c r="A920" s="59">
        <v>7</v>
      </c>
      <c r="B920" s="92">
        <v>2</v>
      </c>
      <c r="C920" s="59">
        <v>6</v>
      </c>
      <c r="D920" s="59">
        <v>4</v>
      </c>
      <c r="E920" s="60">
        <v>7264</v>
      </c>
      <c r="F920" s="96" t="s">
        <v>1169</v>
      </c>
      <c r="G920" s="61" t="s">
        <v>529</v>
      </c>
      <c r="H920" s="62" t="s">
        <v>529</v>
      </c>
      <c r="I920" s="62" t="s">
        <v>529</v>
      </c>
      <c r="J920" s="62" t="s">
        <v>529</v>
      </c>
    </row>
    <row r="921" spans="1:10" ht="13.5" customHeight="1">
      <c r="A921" s="59">
        <v>7</v>
      </c>
      <c r="B921" s="92">
        <v>2</v>
      </c>
      <c r="C921" s="59">
        <v>6</v>
      </c>
      <c r="D921" s="59">
        <v>5</v>
      </c>
      <c r="E921" s="60">
        <v>7265</v>
      </c>
      <c r="F921" s="96" t="s">
        <v>1170</v>
      </c>
      <c r="G921" s="61" t="s">
        <v>529</v>
      </c>
      <c r="H921" s="62" t="s">
        <v>529</v>
      </c>
      <c r="I921" s="62" t="s">
        <v>529</v>
      </c>
      <c r="J921" s="62" t="s">
        <v>529</v>
      </c>
    </row>
    <row r="922" spans="1:10" ht="13.5" customHeight="1">
      <c r="A922" s="59">
        <v>7</v>
      </c>
      <c r="B922" s="92">
        <v>2</v>
      </c>
      <c r="C922" s="59">
        <v>6</v>
      </c>
      <c r="D922" s="59">
        <v>6</v>
      </c>
      <c r="E922" s="60">
        <v>7266</v>
      </c>
      <c r="F922" s="96" t="s">
        <v>1171</v>
      </c>
      <c r="G922" s="61" t="s">
        <v>529</v>
      </c>
      <c r="H922" s="62" t="s">
        <v>529</v>
      </c>
      <c r="I922" s="62" t="s">
        <v>529</v>
      </c>
      <c r="J922" s="62" t="s">
        <v>529</v>
      </c>
    </row>
    <row r="923" spans="1:10" ht="13.5" customHeight="1">
      <c r="A923" s="59">
        <v>7</v>
      </c>
      <c r="B923" s="92">
        <v>2</v>
      </c>
      <c r="C923" s="59">
        <v>6</v>
      </c>
      <c r="D923" s="59">
        <v>7</v>
      </c>
      <c r="E923" s="60">
        <v>7267</v>
      </c>
      <c r="F923" s="96" t="s">
        <v>1172</v>
      </c>
      <c r="G923" s="61" t="s">
        <v>529</v>
      </c>
      <c r="H923" s="62" t="s">
        <v>529</v>
      </c>
      <c r="I923" s="62" t="s">
        <v>529</v>
      </c>
      <c r="J923" s="62" t="s">
        <v>529</v>
      </c>
    </row>
    <row r="924" spans="1:10" ht="13.5" customHeight="1">
      <c r="A924" s="63">
        <v>7</v>
      </c>
      <c r="B924" s="93">
        <v>2</v>
      </c>
      <c r="C924" s="63">
        <v>6</v>
      </c>
      <c r="D924" s="63">
        <v>9</v>
      </c>
      <c r="E924" s="64">
        <v>7269</v>
      </c>
      <c r="F924" s="98" t="s">
        <v>1146</v>
      </c>
      <c r="G924" s="65" t="s">
        <v>529</v>
      </c>
      <c r="H924" s="66" t="s">
        <v>529</v>
      </c>
      <c r="I924" s="66" t="s">
        <v>529</v>
      </c>
      <c r="J924" s="66" t="s">
        <v>529</v>
      </c>
    </row>
    <row r="925" spans="1:10" ht="13.5" customHeight="1">
      <c r="A925" s="52">
        <v>7</v>
      </c>
      <c r="B925" s="89">
        <v>2</v>
      </c>
      <c r="C925" s="52">
        <v>8</v>
      </c>
      <c r="D925" s="52">
        <v>0</v>
      </c>
      <c r="E925" s="52">
        <v>7280</v>
      </c>
      <c r="F925" s="97" t="s">
        <v>1175</v>
      </c>
      <c r="G925" s="53" t="s">
        <v>529</v>
      </c>
      <c r="H925" s="54" t="s">
        <v>529</v>
      </c>
      <c r="I925" s="54" t="s">
        <v>529</v>
      </c>
      <c r="J925" s="54" t="s">
        <v>529</v>
      </c>
    </row>
    <row r="926" spans="1:10" ht="13.5" customHeight="1">
      <c r="A926" s="55">
        <v>7</v>
      </c>
      <c r="B926" s="91">
        <v>2</v>
      </c>
      <c r="C926" s="55">
        <v>8</v>
      </c>
      <c r="D926" s="55">
        <v>1</v>
      </c>
      <c r="E926" s="56">
        <v>7281</v>
      </c>
      <c r="F926" s="95" t="s">
        <v>1176</v>
      </c>
      <c r="G926" s="57" t="s">
        <v>529</v>
      </c>
      <c r="H926" s="58" t="s">
        <v>529</v>
      </c>
      <c r="I926" s="58" t="s">
        <v>529</v>
      </c>
      <c r="J926" s="58" t="s">
        <v>529</v>
      </c>
    </row>
    <row r="927" spans="1:10" ht="13.5" customHeight="1">
      <c r="A927" s="59">
        <v>7</v>
      </c>
      <c r="B927" s="92">
        <v>2</v>
      </c>
      <c r="C927" s="59">
        <v>8</v>
      </c>
      <c r="D927" s="59">
        <v>2</v>
      </c>
      <c r="E927" s="60">
        <v>7282</v>
      </c>
      <c r="F927" s="96" t="s">
        <v>1177</v>
      </c>
      <c r="G927" s="61" t="s">
        <v>529</v>
      </c>
      <c r="H927" s="62" t="s">
        <v>529</v>
      </c>
      <c r="I927" s="62" t="s">
        <v>529</v>
      </c>
      <c r="J927" s="62" t="s">
        <v>529</v>
      </c>
    </row>
    <row r="928" spans="1:10" ht="13.5" customHeight="1">
      <c r="A928" s="59">
        <v>7</v>
      </c>
      <c r="B928" s="92">
        <v>2</v>
      </c>
      <c r="C928" s="59">
        <v>8</v>
      </c>
      <c r="D928" s="59">
        <v>3</v>
      </c>
      <c r="E928" s="60">
        <v>7283</v>
      </c>
      <c r="F928" s="96" t="s">
        <v>1178</v>
      </c>
      <c r="G928" s="61" t="s">
        <v>529</v>
      </c>
      <c r="H928" s="62" t="s">
        <v>529</v>
      </c>
      <c r="I928" s="62" t="s">
        <v>529</v>
      </c>
      <c r="J928" s="62" t="s">
        <v>529</v>
      </c>
    </row>
    <row r="929" spans="1:10" ht="13.5" customHeight="1">
      <c r="A929" s="59">
        <v>7</v>
      </c>
      <c r="B929" s="92">
        <v>2</v>
      </c>
      <c r="C929" s="59">
        <v>8</v>
      </c>
      <c r="D929" s="59">
        <v>4</v>
      </c>
      <c r="E929" s="60">
        <v>7284</v>
      </c>
      <c r="F929" s="96" t="s">
        <v>1170</v>
      </c>
      <c r="G929" s="61" t="s">
        <v>529</v>
      </c>
      <c r="H929" s="62" t="s">
        <v>529</v>
      </c>
      <c r="I929" s="62" t="s">
        <v>529</v>
      </c>
      <c r="J929" s="62" t="s">
        <v>529</v>
      </c>
    </row>
    <row r="930" spans="1:10" ht="13.5" customHeight="1">
      <c r="A930" s="59">
        <v>7</v>
      </c>
      <c r="B930" s="92">
        <v>2</v>
      </c>
      <c r="C930" s="59">
        <v>8</v>
      </c>
      <c r="D930" s="59">
        <v>5</v>
      </c>
      <c r="E930" s="60">
        <v>7285</v>
      </c>
      <c r="F930" s="96" t="s">
        <v>569</v>
      </c>
      <c r="G930" s="61" t="s">
        <v>529</v>
      </c>
      <c r="H930" s="62" t="s">
        <v>529</v>
      </c>
      <c r="I930" s="62" t="s">
        <v>529</v>
      </c>
      <c r="J930" s="62" t="s">
        <v>529</v>
      </c>
    </row>
    <row r="931" spans="1:10" ht="13.5" customHeight="1">
      <c r="A931" s="59">
        <v>7</v>
      </c>
      <c r="B931" s="92">
        <v>2</v>
      </c>
      <c r="C931" s="59">
        <v>8</v>
      </c>
      <c r="D931" s="59">
        <v>6</v>
      </c>
      <c r="E931" s="60">
        <v>7286</v>
      </c>
      <c r="F931" s="96" t="s">
        <v>1179</v>
      </c>
      <c r="G931" s="61" t="s">
        <v>529</v>
      </c>
      <c r="H931" s="62" t="s">
        <v>529</v>
      </c>
      <c r="I931" s="62" t="s">
        <v>529</v>
      </c>
      <c r="J931" s="62" t="s">
        <v>529</v>
      </c>
    </row>
    <row r="932" spans="1:10" ht="13.5" customHeight="1">
      <c r="A932" s="63">
        <v>7</v>
      </c>
      <c r="B932" s="93">
        <v>2</v>
      </c>
      <c r="C932" s="63">
        <v>8</v>
      </c>
      <c r="D932" s="63">
        <v>9</v>
      </c>
      <c r="E932" s="64">
        <v>7289</v>
      </c>
      <c r="F932" s="98" t="s">
        <v>1146</v>
      </c>
      <c r="G932" s="65" t="s">
        <v>529</v>
      </c>
      <c r="H932" s="66" t="s">
        <v>529</v>
      </c>
      <c r="I932" s="66" t="s">
        <v>529</v>
      </c>
      <c r="J932" s="66" t="s">
        <v>529</v>
      </c>
    </row>
    <row r="933" spans="1:10" ht="13.5" customHeight="1">
      <c r="A933" s="46">
        <v>7</v>
      </c>
      <c r="B933" s="90">
        <v>3</v>
      </c>
      <c r="C933" s="46">
        <v>0</v>
      </c>
      <c r="D933" s="46">
        <v>0</v>
      </c>
      <c r="E933" s="46">
        <v>7300</v>
      </c>
      <c r="F933" s="99" t="s">
        <v>1180</v>
      </c>
      <c r="G933" s="48" t="s">
        <v>1103</v>
      </c>
      <c r="H933" s="49" t="s">
        <v>1103</v>
      </c>
      <c r="I933" s="49" t="s">
        <v>1103</v>
      </c>
      <c r="J933" s="49" t="s">
        <v>1103</v>
      </c>
    </row>
    <row r="934" spans="1:10" ht="13.5" customHeight="1">
      <c r="A934" s="52">
        <v>7</v>
      </c>
      <c r="B934" s="89">
        <v>3</v>
      </c>
      <c r="C934" s="52">
        <v>1</v>
      </c>
      <c r="D934" s="52">
        <v>0</v>
      </c>
      <c r="E934" s="52">
        <v>7310</v>
      </c>
      <c r="F934" s="97" t="s">
        <v>1161</v>
      </c>
      <c r="G934" s="53" t="s">
        <v>1103</v>
      </c>
      <c r="H934" s="54" t="s">
        <v>1103</v>
      </c>
      <c r="I934" s="54" t="s">
        <v>1103</v>
      </c>
      <c r="J934" s="54" t="s">
        <v>1103</v>
      </c>
    </row>
    <row r="935" spans="1:10" ht="13.5" customHeight="1">
      <c r="A935" s="55">
        <v>7</v>
      </c>
      <c r="B935" s="91">
        <v>3</v>
      </c>
      <c r="C935" s="55">
        <v>1</v>
      </c>
      <c r="D935" s="55">
        <v>1</v>
      </c>
      <c r="E935" s="56">
        <v>7311</v>
      </c>
      <c r="F935" s="95" t="s">
        <v>1055</v>
      </c>
      <c r="G935" s="57" t="s">
        <v>1103</v>
      </c>
      <c r="H935" s="58" t="s">
        <v>1103</v>
      </c>
      <c r="I935" s="58" t="s">
        <v>1103</v>
      </c>
      <c r="J935" s="58" t="s">
        <v>1103</v>
      </c>
    </row>
    <row r="936" spans="1:10" ht="13.5" customHeight="1">
      <c r="A936" s="59">
        <v>7</v>
      </c>
      <c r="B936" s="92">
        <v>3</v>
      </c>
      <c r="C936" s="59">
        <v>1</v>
      </c>
      <c r="D936" s="59">
        <v>3</v>
      </c>
      <c r="E936" s="60">
        <v>7313</v>
      </c>
      <c r="F936" s="96" t="s">
        <v>1162</v>
      </c>
      <c r="G936" s="61" t="s">
        <v>1103</v>
      </c>
      <c r="H936" s="62" t="s">
        <v>1103</v>
      </c>
      <c r="I936" s="62" t="s">
        <v>1103</v>
      </c>
      <c r="J936" s="62" t="s">
        <v>1103</v>
      </c>
    </row>
    <row r="937" spans="1:10" ht="13.5" customHeight="1">
      <c r="A937" s="59">
        <v>7</v>
      </c>
      <c r="B937" s="92">
        <v>3</v>
      </c>
      <c r="C937" s="59">
        <v>1</v>
      </c>
      <c r="D937" s="59">
        <v>4</v>
      </c>
      <c r="E937" s="60">
        <v>7314</v>
      </c>
      <c r="F937" s="96" t="s">
        <v>574</v>
      </c>
      <c r="G937" s="61" t="s">
        <v>1103</v>
      </c>
      <c r="H937" s="62" t="s">
        <v>1103</v>
      </c>
      <c r="I937" s="62" t="s">
        <v>1103</v>
      </c>
      <c r="J937" s="62" t="s">
        <v>1103</v>
      </c>
    </row>
    <row r="938" spans="1:10" ht="13.5" customHeight="1">
      <c r="A938" s="59">
        <v>7</v>
      </c>
      <c r="B938" s="92">
        <v>3</v>
      </c>
      <c r="C938" s="59">
        <v>1</v>
      </c>
      <c r="D938" s="59">
        <v>5</v>
      </c>
      <c r="E938" s="60">
        <v>7315</v>
      </c>
      <c r="F938" s="96" t="s">
        <v>1163</v>
      </c>
      <c r="G938" s="61" t="s">
        <v>1103</v>
      </c>
      <c r="H938" s="62" t="s">
        <v>1103</v>
      </c>
      <c r="I938" s="62" t="s">
        <v>1103</v>
      </c>
      <c r="J938" s="62" t="s">
        <v>1103</v>
      </c>
    </row>
    <row r="939" spans="1:10" ht="13.5" customHeight="1">
      <c r="A939" s="59">
        <v>7</v>
      </c>
      <c r="B939" s="92">
        <v>3</v>
      </c>
      <c r="C939" s="59">
        <v>1</v>
      </c>
      <c r="D939" s="59">
        <v>6</v>
      </c>
      <c r="E939" s="60">
        <v>7316</v>
      </c>
      <c r="F939" s="96" t="s">
        <v>1181</v>
      </c>
      <c r="G939" s="61" t="s">
        <v>1103</v>
      </c>
      <c r="H939" s="62" t="s">
        <v>1103</v>
      </c>
      <c r="I939" s="62" t="s">
        <v>1103</v>
      </c>
      <c r="J939" s="62" t="s">
        <v>1103</v>
      </c>
    </row>
    <row r="940" spans="1:10" ht="13.5" customHeight="1">
      <c r="A940" s="59">
        <v>7</v>
      </c>
      <c r="B940" s="92">
        <v>3</v>
      </c>
      <c r="C940" s="59">
        <v>1</v>
      </c>
      <c r="D940" s="59">
        <v>7</v>
      </c>
      <c r="E940" s="60">
        <v>7317</v>
      </c>
      <c r="F940" s="96" t="s">
        <v>970</v>
      </c>
      <c r="G940" s="61" t="s">
        <v>1103</v>
      </c>
      <c r="H940" s="62" t="s">
        <v>1103</v>
      </c>
      <c r="I940" s="62" t="s">
        <v>1103</v>
      </c>
      <c r="J940" s="62" t="s">
        <v>1103</v>
      </c>
    </row>
    <row r="941" spans="1:10" ht="13.5" customHeight="1">
      <c r="A941" s="59">
        <v>7</v>
      </c>
      <c r="B941" s="93">
        <v>3</v>
      </c>
      <c r="C941" s="59">
        <v>1</v>
      </c>
      <c r="D941" s="59">
        <v>8</v>
      </c>
      <c r="E941" s="60">
        <v>7318</v>
      </c>
      <c r="F941" s="96" t="s">
        <v>1011</v>
      </c>
      <c r="G941" s="61" t="s">
        <v>1103</v>
      </c>
      <c r="H941" s="62" t="s">
        <v>1103</v>
      </c>
      <c r="I941" s="62" t="s">
        <v>1103</v>
      </c>
      <c r="J941" s="62" t="s">
        <v>1103</v>
      </c>
    </row>
    <row r="942" spans="1:10" ht="13.5" customHeight="1">
      <c r="A942" s="52">
        <v>7</v>
      </c>
      <c r="B942" s="89">
        <v>3</v>
      </c>
      <c r="C942" s="52">
        <v>2</v>
      </c>
      <c r="D942" s="52">
        <v>0</v>
      </c>
      <c r="E942" s="52">
        <v>7320</v>
      </c>
      <c r="F942" s="97" t="s">
        <v>1147</v>
      </c>
      <c r="G942" s="53" t="s">
        <v>1103</v>
      </c>
      <c r="H942" s="54" t="s">
        <v>1103</v>
      </c>
      <c r="I942" s="54" t="s">
        <v>1103</v>
      </c>
      <c r="J942" s="54" t="s">
        <v>1103</v>
      </c>
    </row>
    <row r="943" spans="1:10" ht="13.5" customHeight="1">
      <c r="A943" s="55">
        <v>7</v>
      </c>
      <c r="B943" s="91">
        <v>3</v>
      </c>
      <c r="C943" s="55">
        <v>2</v>
      </c>
      <c r="D943" s="55">
        <v>1</v>
      </c>
      <c r="E943" s="56">
        <v>7321</v>
      </c>
      <c r="F943" s="95" t="s">
        <v>1182</v>
      </c>
      <c r="G943" s="57" t="s">
        <v>1103</v>
      </c>
      <c r="H943" s="58" t="s">
        <v>1103</v>
      </c>
      <c r="I943" s="58" t="s">
        <v>1103</v>
      </c>
      <c r="J943" s="58" t="s">
        <v>1103</v>
      </c>
    </row>
    <row r="944" spans="1:10" ht="13.5" customHeight="1">
      <c r="A944" s="59">
        <v>7</v>
      </c>
      <c r="B944" s="92">
        <v>3</v>
      </c>
      <c r="C944" s="59">
        <v>2</v>
      </c>
      <c r="D944" s="59">
        <v>2</v>
      </c>
      <c r="E944" s="60">
        <v>7322</v>
      </c>
      <c r="F944" s="96" t="s">
        <v>593</v>
      </c>
      <c r="G944" s="61" t="s">
        <v>1103</v>
      </c>
      <c r="H944" s="62" t="s">
        <v>1103</v>
      </c>
      <c r="I944" s="62" t="s">
        <v>1103</v>
      </c>
      <c r="J944" s="62" t="s">
        <v>1103</v>
      </c>
    </row>
    <row r="945" spans="1:10" ht="13.5" customHeight="1">
      <c r="A945" s="59">
        <v>7</v>
      </c>
      <c r="B945" s="92">
        <v>3</v>
      </c>
      <c r="C945" s="59">
        <v>2</v>
      </c>
      <c r="D945" s="59">
        <v>3</v>
      </c>
      <c r="E945" s="60">
        <v>7323</v>
      </c>
      <c r="F945" s="96" t="s">
        <v>1060</v>
      </c>
      <c r="G945" s="61" t="s">
        <v>1103</v>
      </c>
      <c r="H945" s="62" t="s">
        <v>1103</v>
      </c>
      <c r="I945" s="62" t="s">
        <v>1103</v>
      </c>
      <c r="J945" s="62" t="s">
        <v>1103</v>
      </c>
    </row>
    <row r="946" spans="1:10" ht="13.5" customHeight="1">
      <c r="A946" s="59">
        <v>7</v>
      </c>
      <c r="B946" s="92">
        <v>3</v>
      </c>
      <c r="C946" s="59">
        <v>2</v>
      </c>
      <c r="D946" s="59">
        <v>4</v>
      </c>
      <c r="E946" s="60">
        <v>7324</v>
      </c>
      <c r="F946" s="96" t="s">
        <v>1151</v>
      </c>
      <c r="G946" s="61" t="s">
        <v>1103</v>
      </c>
      <c r="H946" s="62" t="s">
        <v>1103</v>
      </c>
      <c r="I946" s="62" t="s">
        <v>1103</v>
      </c>
      <c r="J946" s="62" t="s">
        <v>1103</v>
      </c>
    </row>
    <row r="947" spans="1:10" ht="13.5" customHeight="1">
      <c r="A947" s="59">
        <v>7</v>
      </c>
      <c r="B947" s="92">
        <v>3</v>
      </c>
      <c r="C947" s="59">
        <v>2</v>
      </c>
      <c r="D947" s="59">
        <v>6</v>
      </c>
      <c r="E947" s="60">
        <v>7326</v>
      </c>
      <c r="F947" s="96" t="s">
        <v>1062</v>
      </c>
      <c r="G947" s="61" t="s">
        <v>1103</v>
      </c>
      <c r="H947" s="62" t="s">
        <v>1103</v>
      </c>
      <c r="I947" s="62" t="s">
        <v>1103</v>
      </c>
      <c r="J947" s="62" t="s">
        <v>1103</v>
      </c>
    </row>
    <row r="948" spans="1:10" ht="13.5" customHeight="1">
      <c r="A948" s="59">
        <v>7</v>
      </c>
      <c r="B948" s="92">
        <v>3</v>
      </c>
      <c r="C948" s="59">
        <v>2</v>
      </c>
      <c r="D948" s="59">
        <v>7</v>
      </c>
      <c r="E948" s="60">
        <v>7327</v>
      </c>
      <c r="F948" s="96" t="s">
        <v>1153</v>
      </c>
      <c r="G948" s="61" t="s">
        <v>1103</v>
      </c>
      <c r="H948" s="62" t="s">
        <v>1103</v>
      </c>
      <c r="I948" s="62" t="s">
        <v>1103</v>
      </c>
      <c r="J948" s="62" t="s">
        <v>1103</v>
      </c>
    </row>
    <row r="949" spans="1:10" ht="13.5" customHeight="1">
      <c r="A949" s="59">
        <v>7</v>
      </c>
      <c r="B949" s="92">
        <v>3</v>
      </c>
      <c r="C949" s="59">
        <v>2</v>
      </c>
      <c r="D949" s="59">
        <v>8</v>
      </c>
      <c r="E949" s="60">
        <v>7328</v>
      </c>
      <c r="F949" s="96" t="s">
        <v>1064</v>
      </c>
      <c r="G949" s="61" t="s">
        <v>1103</v>
      </c>
      <c r="H949" s="62" t="s">
        <v>1103</v>
      </c>
      <c r="I949" s="62" t="s">
        <v>1103</v>
      </c>
      <c r="J949" s="62" t="s">
        <v>1103</v>
      </c>
    </row>
    <row r="950" spans="1:10" ht="13.5" customHeight="1">
      <c r="A950" s="63">
        <v>7</v>
      </c>
      <c r="B950" s="93">
        <v>3</v>
      </c>
      <c r="C950" s="63">
        <v>2</v>
      </c>
      <c r="D950" s="63">
        <v>9</v>
      </c>
      <c r="E950" s="64">
        <v>7329</v>
      </c>
      <c r="F950" s="98" t="s">
        <v>1183</v>
      </c>
      <c r="G950" s="65" t="s">
        <v>529</v>
      </c>
      <c r="H950" s="66" t="s">
        <v>529</v>
      </c>
      <c r="I950" s="66" t="s">
        <v>529</v>
      </c>
      <c r="J950" s="66" t="s">
        <v>529</v>
      </c>
    </row>
    <row r="951" spans="1:10" ht="13.5" customHeight="1">
      <c r="A951" s="52">
        <v>7</v>
      </c>
      <c r="B951" s="89">
        <v>3</v>
      </c>
      <c r="C951" s="52">
        <v>3</v>
      </c>
      <c r="D951" s="52">
        <v>0</v>
      </c>
      <c r="E951" s="52">
        <v>7330</v>
      </c>
      <c r="F951" s="97" t="s">
        <v>1155</v>
      </c>
      <c r="G951" s="53" t="s">
        <v>1103</v>
      </c>
      <c r="H951" s="54" t="s">
        <v>1103</v>
      </c>
      <c r="I951" s="54" t="s">
        <v>1103</v>
      </c>
      <c r="J951" s="54" t="s">
        <v>1103</v>
      </c>
    </row>
    <row r="952" spans="1:10" ht="13.5" customHeight="1">
      <c r="A952" s="55">
        <v>7</v>
      </c>
      <c r="B952" s="91">
        <v>3</v>
      </c>
      <c r="C952" s="55">
        <v>3</v>
      </c>
      <c r="D952" s="55">
        <v>1</v>
      </c>
      <c r="E952" s="56">
        <v>7331</v>
      </c>
      <c r="F952" s="95" t="s">
        <v>1184</v>
      </c>
      <c r="G952" s="57" t="s">
        <v>1103</v>
      </c>
      <c r="H952" s="58" t="s">
        <v>1103</v>
      </c>
      <c r="I952" s="58" t="s">
        <v>1103</v>
      </c>
      <c r="J952" s="58" t="s">
        <v>1103</v>
      </c>
    </row>
    <row r="953" spans="1:10" ht="13.5" customHeight="1">
      <c r="A953" s="59">
        <v>7</v>
      </c>
      <c r="B953" s="92">
        <v>3</v>
      </c>
      <c r="C953" s="59">
        <v>3</v>
      </c>
      <c r="D953" s="59">
        <v>2</v>
      </c>
      <c r="E953" s="60">
        <v>7332</v>
      </c>
      <c r="F953" s="96" t="s">
        <v>1185</v>
      </c>
      <c r="G953" s="61" t="s">
        <v>1103</v>
      </c>
      <c r="H953" s="62" t="s">
        <v>1103</v>
      </c>
      <c r="I953" s="62" t="s">
        <v>1103</v>
      </c>
      <c r="J953" s="62" t="s">
        <v>1103</v>
      </c>
    </row>
    <row r="954" spans="1:10" ht="13.5" customHeight="1">
      <c r="A954" s="59">
        <v>7</v>
      </c>
      <c r="B954" s="92">
        <v>3</v>
      </c>
      <c r="C954" s="59">
        <v>3</v>
      </c>
      <c r="D954" s="59">
        <v>3</v>
      </c>
      <c r="E954" s="60">
        <v>7333</v>
      </c>
      <c r="F954" s="96" t="s">
        <v>1186</v>
      </c>
      <c r="G954" s="61" t="s">
        <v>1103</v>
      </c>
      <c r="H954" s="62" t="s">
        <v>1103</v>
      </c>
      <c r="I954" s="62" t="s">
        <v>1103</v>
      </c>
      <c r="J954" s="62" t="s">
        <v>1103</v>
      </c>
    </row>
    <row r="955" spans="1:10" ht="13.5" customHeight="1">
      <c r="A955" s="59">
        <v>7</v>
      </c>
      <c r="B955" s="92">
        <v>3</v>
      </c>
      <c r="C955" s="59">
        <v>3</v>
      </c>
      <c r="D955" s="59">
        <v>4</v>
      </c>
      <c r="E955" s="60">
        <v>7334</v>
      </c>
      <c r="F955" s="96" t="s">
        <v>1187</v>
      </c>
      <c r="G955" s="61" t="s">
        <v>1103</v>
      </c>
      <c r="H955" s="62" t="s">
        <v>1103</v>
      </c>
      <c r="I955" s="62" t="s">
        <v>1103</v>
      </c>
      <c r="J955" s="62" t="s">
        <v>1103</v>
      </c>
    </row>
    <row r="956" spans="1:10" ht="13.5" customHeight="1">
      <c r="A956" s="59">
        <v>7</v>
      </c>
      <c r="B956" s="92">
        <v>3</v>
      </c>
      <c r="C956" s="59">
        <v>3</v>
      </c>
      <c r="D956" s="59">
        <v>5</v>
      </c>
      <c r="E956" s="60">
        <v>7335</v>
      </c>
      <c r="F956" s="96" t="s">
        <v>1188</v>
      </c>
      <c r="G956" s="61" t="s">
        <v>1103</v>
      </c>
      <c r="H956" s="62" t="s">
        <v>1103</v>
      </c>
      <c r="I956" s="62" t="s">
        <v>1103</v>
      </c>
      <c r="J956" s="62" t="s">
        <v>1103</v>
      </c>
    </row>
    <row r="957" spans="1:10" ht="13.5" customHeight="1">
      <c r="A957" s="59">
        <v>7</v>
      </c>
      <c r="B957" s="92">
        <v>3</v>
      </c>
      <c r="C957" s="59">
        <v>3</v>
      </c>
      <c r="D957" s="59">
        <v>6</v>
      </c>
      <c r="E957" s="60">
        <v>7336</v>
      </c>
      <c r="F957" s="96" t="s">
        <v>1189</v>
      </c>
      <c r="G957" s="61" t="s">
        <v>1103</v>
      </c>
      <c r="H957" s="62" t="s">
        <v>1103</v>
      </c>
      <c r="I957" s="62" t="s">
        <v>1103</v>
      </c>
      <c r="J957" s="62" t="s">
        <v>1103</v>
      </c>
    </row>
    <row r="958" spans="1:10" ht="13.5" customHeight="1">
      <c r="A958" s="59">
        <v>7</v>
      </c>
      <c r="B958" s="92">
        <v>3</v>
      </c>
      <c r="C958" s="59">
        <v>3</v>
      </c>
      <c r="D958" s="59">
        <v>7</v>
      </c>
      <c r="E958" s="60">
        <v>7337</v>
      </c>
      <c r="F958" s="96" t="s">
        <v>1190</v>
      </c>
      <c r="G958" s="61" t="s">
        <v>1103</v>
      </c>
      <c r="H958" s="62" t="s">
        <v>1103</v>
      </c>
      <c r="I958" s="62" t="s">
        <v>1103</v>
      </c>
      <c r="J958" s="62" t="s">
        <v>1103</v>
      </c>
    </row>
    <row r="959" spans="1:10" ht="13.5" customHeight="1">
      <c r="A959" s="59">
        <v>7</v>
      </c>
      <c r="B959" s="92">
        <v>3</v>
      </c>
      <c r="C959" s="59">
        <v>3</v>
      </c>
      <c r="D959" s="59">
        <v>8</v>
      </c>
      <c r="E959" s="60">
        <v>7338</v>
      </c>
      <c r="F959" s="96" t="s">
        <v>1191</v>
      </c>
      <c r="G959" s="61" t="s">
        <v>1103</v>
      </c>
      <c r="H959" s="62" t="s">
        <v>1103</v>
      </c>
      <c r="I959" s="62" t="s">
        <v>1103</v>
      </c>
      <c r="J959" s="62" t="s">
        <v>1103</v>
      </c>
    </row>
    <row r="960" spans="1:10" ht="13.5" customHeight="1">
      <c r="A960" s="63">
        <v>7</v>
      </c>
      <c r="B960" s="93">
        <v>3</v>
      </c>
      <c r="C960" s="63">
        <v>3</v>
      </c>
      <c r="D960" s="63">
        <v>9</v>
      </c>
      <c r="E960" s="64">
        <v>7339</v>
      </c>
      <c r="F960" s="98" t="s">
        <v>1192</v>
      </c>
      <c r="G960" s="65" t="s">
        <v>1103</v>
      </c>
      <c r="H960" s="66" t="s">
        <v>1103</v>
      </c>
      <c r="I960" s="66" t="s">
        <v>1103</v>
      </c>
      <c r="J960" s="66" t="s">
        <v>1103</v>
      </c>
    </row>
    <row r="961" spans="1:10" ht="13.5" customHeight="1">
      <c r="A961" s="52">
        <v>7</v>
      </c>
      <c r="B961" s="89">
        <v>3</v>
      </c>
      <c r="C961" s="52">
        <v>4</v>
      </c>
      <c r="D961" s="52">
        <v>0</v>
      </c>
      <c r="E961" s="52">
        <v>7340</v>
      </c>
      <c r="F961" s="97" t="s">
        <v>1137</v>
      </c>
      <c r="G961" s="53" t="s">
        <v>1103</v>
      </c>
      <c r="H961" s="54" t="s">
        <v>1103</v>
      </c>
      <c r="I961" s="54" t="s">
        <v>1103</v>
      </c>
      <c r="J961" s="54" t="s">
        <v>1103</v>
      </c>
    </row>
    <row r="962" spans="1:10" ht="13.5" customHeight="1">
      <c r="A962" s="55">
        <v>7</v>
      </c>
      <c r="B962" s="91">
        <v>3</v>
      </c>
      <c r="C962" s="55">
        <v>4</v>
      </c>
      <c r="D962" s="55">
        <v>1</v>
      </c>
      <c r="E962" s="56">
        <v>7341</v>
      </c>
      <c r="F962" s="95" t="s">
        <v>1193</v>
      </c>
      <c r="G962" s="57" t="s">
        <v>1103</v>
      </c>
      <c r="H962" s="58" t="s">
        <v>1103</v>
      </c>
      <c r="I962" s="58" t="s">
        <v>1103</v>
      </c>
      <c r="J962" s="58" t="s">
        <v>1103</v>
      </c>
    </row>
    <row r="963" spans="1:10" ht="13.5" customHeight="1">
      <c r="A963" s="59">
        <v>7</v>
      </c>
      <c r="B963" s="92">
        <v>3</v>
      </c>
      <c r="C963" s="59">
        <v>4</v>
      </c>
      <c r="D963" s="59">
        <v>2</v>
      </c>
      <c r="E963" s="60">
        <v>7342</v>
      </c>
      <c r="F963" s="96" t="s">
        <v>1194</v>
      </c>
      <c r="G963" s="61" t="s">
        <v>1103</v>
      </c>
      <c r="H963" s="62" t="s">
        <v>1103</v>
      </c>
      <c r="I963" s="62" t="s">
        <v>1103</v>
      </c>
      <c r="J963" s="62" t="s">
        <v>1103</v>
      </c>
    </row>
    <row r="964" spans="1:10" ht="13.5" customHeight="1">
      <c r="A964" s="59">
        <v>7</v>
      </c>
      <c r="B964" s="92">
        <v>3</v>
      </c>
      <c r="C964" s="59">
        <v>4</v>
      </c>
      <c r="D964" s="59">
        <v>3</v>
      </c>
      <c r="E964" s="60">
        <v>7343</v>
      </c>
      <c r="F964" s="96" t="s">
        <v>1195</v>
      </c>
      <c r="G964" s="61" t="s">
        <v>1103</v>
      </c>
      <c r="H964" s="62" t="s">
        <v>1103</v>
      </c>
      <c r="I964" s="62" t="s">
        <v>1103</v>
      </c>
      <c r="J964" s="62" t="s">
        <v>1103</v>
      </c>
    </row>
    <row r="965" spans="1:10" ht="13.5" customHeight="1">
      <c r="A965" s="59">
        <v>7</v>
      </c>
      <c r="B965" s="92">
        <v>3</v>
      </c>
      <c r="C965" s="59">
        <v>4</v>
      </c>
      <c r="D965" s="59">
        <v>4</v>
      </c>
      <c r="E965" s="60">
        <v>7344</v>
      </c>
      <c r="F965" s="96" t="s">
        <v>1196</v>
      </c>
      <c r="G965" s="61" t="s">
        <v>1103</v>
      </c>
      <c r="H965" s="62" t="s">
        <v>1103</v>
      </c>
      <c r="I965" s="62" t="s">
        <v>1103</v>
      </c>
      <c r="J965" s="62" t="s">
        <v>1103</v>
      </c>
    </row>
    <row r="966" spans="1:10" ht="13.5" customHeight="1">
      <c r="A966" s="59">
        <v>7</v>
      </c>
      <c r="B966" s="92">
        <v>3</v>
      </c>
      <c r="C966" s="59">
        <v>4</v>
      </c>
      <c r="D966" s="59">
        <v>5</v>
      </c>
      <c r="E966" s="60">
        <v>7345</v>
      </c>
      <c r="F966" s="96" t="s">
        <v>1197</v>
      </c>
      <c r="G966" s="61" t="s">
        <v>1103</v>
      </c>
      <c r="H966" s="62" t="s">
        <v>1103</v>
      </c>
      <c r="I966" s="62" t="s">
        <v>1103</v>
      </c>
      <c r="J966" s="62" t="s">
        <v>1103</v>
      </c>
    </row>
    <row r="967" spans="1:10" ht="13.5" customHeight="1">
      <c r="A967" s="59">
        <v>7</v>
      </c>
      <c r="B967" s="92">
        <v>3</v>
      </c>
      <c r="C967" s="59">
        <v>4</v>
      </c>
      <c r="D967" s="59">
        <v>6</v>
      </c>
      <c r="E967" s="60">
        <v>7346</v>
      </c>
      <c r="F967" s="96" t="s">
        <v>1198</v>
      </c>
      <c r="G967" s="61" t="s">
        <v>1103</v>
      </c>
      <c r="H967" s="62" t="s">
        <v>1103</v>
      </c>
      <c r="I967" s="62" t="s">
        <v>1103</v>
      </c>
      <c r="J967" s="62" t="s">
        <v>1103</v>
      </c>
    </row>
    <row r="968" spans="1:10" ht="13.5" customHeight="1">
      <c r="A968" s="59">
        <v>7</v>
      </c>
      <c r="B968" s="92">
        <v>3</v>
      </c>
      <c r="C968" s="59">
        <v>4</v>
      </c>
      <c r="D968" s="59">
        <v>7</v>
      </c>
      <c r="E968" s="60">
        <v>7347</v>
      </c>
      <c r="F968" s="96" t="s">
        <v>1199</v>
      </c>
      <c r="G968" s="61" t="s">
        <v>1103</v>
      </c>
      <c r="H968" s="62" t="s">
        <v>1103</v>
      </c>
      <c r="I968" s="62" t="s">
        <v>1103</v>
      </c>
      <c r="J968" s="62" t="s">
        <v>1103</v>
      </c>
    </row>
    <row r="969" spans="1:10" ht="13.5" customHeight="1">
      <c r="A969" s="59">
        <v>7</v>
      </c>
      <c r="B969" s="92">
        <v>3</v>
      </c>
      <c r="C969" s="59">
        <v>4</v>
      </c>
      <c r="D969" s="59">
        <v>8</v>
      </c>
      <c r="E969" s="60">
        <v>7348</v>
      </c>
      <c r="F969" s="96" t="s">
        <v>1200</v>
      </c>
      <c r="G969" s="61" t="s">
        <v>1103</v>
      </c>
      <c r="H969" s="62" t="s">
        <v>1103</v>
      </c>
      <c r="I969" s="62" t="s">
        <v>1103</v>
      </c>
      <c r="J969" s="62" t="s">
        <v>1103</v>
      </c>
    </row>
    <row r="970" spans="1:10" ht="13.5" customHeight="1">
      <c r="A970" s="63">
        <v>7</v>
      </c>
      <c r="B970" s="93">
        <v>3</v>
      </c>
      <c r="C970" s="63">
        <v>4</v>
      </c>
      <c r="D970" s="63">
        <v>9</v>
      </c>
      <c r="E970" s="64">
        <v>7349</v>
      </c>
      <c r="F970" s="98" t="s">
        <v>1201</v>
      </c>
      <c r="G970" s="65" t="s">
        <v>1103</v>
      </c>
      <c r="H970" s="66" t="s">
        <v>1103</v>
      </c>
      <c r="I970" s="66" t="s">
        <v>1103</v>
      </c>
      <c r="J970" s="66" t="s">
        <v>1103</v>
      </c>
    </row>
    <row r="971" spans="1:10" ht="13.5" customHeight="1">
      <c r="A971" s="52">
        <v>7</v>
      </c>
      <c r="B971" s="89">
        <v>3</v>
      </c>
      <c r="C971" s="52">
        <v>5</v>
      </c>
      <c r="D971" s="52">
        <v>0</v>
      </c>
      <c r="E971" s="52">
        <v>7350</v>
      </c>
      <c r="F971" s="97" t="s">
        <v>1202</v>
      </c>
      <c r="G971" s="53" t="s">
        <v>1103</v>
      </c>
      <c r="H971" s="54" t="s">
        <v>1103</v>
      </c>
      <c r="I971" s="54" t="s">
        <v>1103</v>
      </c>
      <c r="J971" s="54" t="s">
        <v>1103</v>
      </c>
    </row>
    <row r="972" spans="1:10" ht="13.5" customHeight="1">
      <c r="A972" s="55">
        <v>7</v>
      </c>
      <c r="B972" s="91">
        <v>3</v>
      </c>
      <c r="C972" s="55">
        <v>5</v>
      </c>
      <c r="D972" s="55">
        <v>1</v>
      </c>
      <c r="E972" s="56">
        <v>7351</v>
      </c>
      <c r="F972" s="95" t="s">
        <v>1166</v>
      </c>
      <c r="G972" s="57" t="s">
        <v>1103</v>
      </c>
      <c r="H972" s="58" t="s">
        <v>1103</v>
      </c>
      <c r="I972" s="58" t="s">
        <v>1103</v>
      </c>
      <c r="J972" s="58" t="s">
        <v>1103</v>
      </c>
    </row>
    <row r="973" spans="1:10" ht="13.5" customHeight="1">
      <c r="A973" s="59">
        <v>7</v>
      </c>
      <c r="B973" s="92">
        <v>3</v>
      </c>
      <c r="C973" s="59">
        <v>5</v>
      </c>
      <c r="D973" s="59">
        <v>2</v>
      </c>
      <c r="E973" s="60">
        <v>7352</v>
      </c>
      <c r="F973" s="96" t="s">
        <v>1167</v>
      </c>
      <c r="G973" s="61" t="s">
        <v>1103</v>
      </c>
      <c r="H973" s="62" t="s">
        <v>1103</v>
      </c>
      <c r="I973" s="62" t="s">
        <v>1103</v>
      </c>
      <c r="J973" s="62" t="s">
        <v>1103</v>
      </c>
    </row>
    <row r="974" spans="1:10" ht="13.5" customHeight="1">
      <c r="A974" s="59">
        <v>7</v>
      </c>
      <c r="B974" s="92">
        <v>3</v>
      </c>
      <c r="C974" s="59">
        <v>5</v>
      </c>
      <c r="D974" s="59">
        <v>3</v>
      </c>
      <c r="E974" s="60">
        <v>7353</v>
      </c>
      <c r="F974" s="96" t="s">
        <v>1168</v>
      </c>
      <c r="G974" s="61" t="s">
        <v>1103</v>
      </c>
      <c r="H974" s="62" t="s">
        <v>1103</v>
      </c>
      <c r="I974" s="62" t="s">
        <v>1103</v>
      </c>
      <c r="J974" s="62" t="s">
        <v>1103</v>
      </c>
    </row>
    <row r="975" spans="1:10" ht="13.5" customHeight="1">
      <c r="A975" s="59">
        <v>7</v>
      </c>
      <c r="B975" s="92">
        <v>3</v>
      </c>
      <c r="C975" s="59">
        <v>5</v>
      </c>
      <c r="D975" s="59">
        <v>4</v>
      </c>
      <c r="E975" s="60">
        <v>7354</v>
      </c>
      <c r="F975" s="96" t="s">
        <v>1169</v>
      </c>
      <c r="G975" s="61" t="s">
        <v>1103</v>
      </c>
      <c r="H975" s="62" t="s">
        <v>1103</v>
      </c>
      <c r="I975" s="62" t="s">
        <v>1103</v>
      </c>
      <c r="J975" s="62" t="s">
        <v>1103</v>
      </c>
    </row>
    <row r="976" spans="1:10" ht="13.5" customHeight="1">
      <c r="A976" s="59">
        <v>7</v>
      </c>
      <c r="B976" s="92">
        <v>3</v>
      </c>
      <c r="C976" s="59">
        <v>5</v>
      </c>
      <c r="D976" s="59">
        <v>5</v>
      </c>
      <c r="E976" s="60">
        <v>7355</v>
      </c>
      <c r="F976" s="96" t="s">
        <v>1170</v>
      </c>
      <c r="G976" s="61" t="s">
        <v>1103</v>
      </c>
      <c r="H976" s="62" t="s">
        <v>1103</v>
      </c>
      <c r="I976" s="62" t="s">
        <v>1103</v>
      </c>
      <c r="J976" s="62" t="s">
        <v>1103</v>
      </c>
    </row>
    <row r="977" spans="1:10" ht="13.5" customHeight="1">
      <c r="A977" s="59">
        <v>7</v>
      </c>
      <c r="B977" s="92">
        <v>3</v>
      </c>
      <c r="C977" s="59">
        <v>5</v>
      </c>
      <c r="D977" s="59">
        <v>6</v>
      </c>
      <c r="E977" s="60">
        <v>7356</v>
      </c>
      <c r="F977" s="96" t="s">
        <v>1171</v>
      </c>
      <c r="G977" s="61" t="s">
        <v>1103</v>
      </c>
      <c r="H977" s="62" t="s">
        <v>1103</v>
      </c>
      <c r="I977" s="62" t="s">
        <v>1103</v>
      </c>
      <c r="J977" s="62" t="s">
        <v>1103</v>
      </c>
    </row>
    <row r="978" spans="1:10" ht="13.5" customHeight="1">
      <c r="A978" s="59">
        <v>7</v>
      </c>
      <c r="B978" s="93">
        <v>3</v>
      </c>
      <c r="C978" s="59">
        <v>5</v>
      </c>
      <c r="D978" s="59">
        <v>7</v>
      </c>
      <c r="E978" s="60">
        <v>7357</v>
      </c>
      <c r="F978" s="96" t="s">
        <v>1172</v>
      </c>
      <c r="G978" s="61" t="s">
        <v>1103</v>
      </c>
      <c r="H978" s="62" t="s">
        <v>1103</v>
      </c>
      <c r="I978" s="62" t="s">
        <v>1103</v>
      </c>
      <c r="J978" s="62" t="s">
        <v>1103</v>
      </c>
    </row>
    <row r="979" spans="1:10" ht="13.5" customHeight="1">
      <c r="A979" s="52">
        <v>7</v>
      </c>
      <c r="B979" s="89">
        <v>3</v>
      </c>
      <c r="C979" s="52">
        <v>6</v>
      </c>
      <c r="D979" s="52">
        <v>0</v>
      </c>
      <c r="E979" s="52">
        <v>7360</v>
      </c>
      <c r="F979" s="97" t="s">
        <v>1203</v>
      </c>
      <c r="G979" s="53" t="s">
        <v>1103</v>
      </c>
      <c r="H979" s="54" t="s">
        <v>1103</v>
      </c>
      <c r="I979" s="54" t="s">
        <v>1103</v>
      </c>
      <c r="J979" s="54" t="s">
        <v>1103</v>
      </c>
    </row>
    <row r="980" spans="1:10" ht="13.5" customHeight="1">
      <c r="A980" s="55">
        <v>7</v>
      </c>
      <c r="B980" s="91">
        <v>3</v>
      </c>
      <c r="C980" s="55">
        <v>6</v>
      </c>
      <c r="D980" s="55">
        <v>1</v>
      </c>
      <c r="E980" s="56">
        <v>7361</v>
      </c>
      <c r="F980" s="95" t="s">
        <v>1204</v>
      </c>
      <c r="G980" s="57" t="s">
        <v>1103</v>
      </c>
      <c r="H980" s="58" t="s">
        <v>1103</v>
      </c>
      <c r="I980" s="58" t="s">
        <v>1103</v>
      </c>
      <c r="J980" s="58" t="s">
        <v>1103</v>
      </c>
    </row>
    <row r="981" spans="1:10" ht="13.5" customHeight="1">
      <c r="A981" s="59">
        <v>7</v>
      </c>
      <c r="B981" s="92">
        <v>3</v>
      </c>
      <c r="C981" s="59">
        <v>6</v>
      </c>
      <c r="D981" s="59">
        <v>2</v>
      </c>
      <c r="E981" s="60">
        <v>7362</v>
      </c>
      <c r="F981" s="96" t="s">
        <v>1205</v>
      </c>
      <c r="G981" s="61" t="s">
        <v>1103</v>
      </c>
      <c r="H981" s="62" t="s">
        <v>1103</v>
      </c>
      <c r="I981" s="62" t="s">
        <v>1103</v>
      </c>
      <c r="J981" s="62" t="s">
        <v>1103</v>
      </c>
    </row>
    <row r="982" spans="1:10" ht="13.5" customHeight="1">
      <c r="A982" s="59">
        <v>7</v>
      </c>
      <c r="B982" s="93">
        <v>3</v>
      </c>
      <c r="C982" s="59">
        <v>6</v>
      </c>
      <c r="D982" s="59">
        <v>3</v>
      </c>
      <c r="E982" s="60">
        <v>7363</v>
      </c>
      <c r="F982" s="96" t="s">
        <v>1206</v>
      </c>
      <c r="G982" s="61" t="s">
        <v>1103</v>
      </c>
      <c r="H982" s="62" t="s">
        <v>1103</v>
      </c>
      <c r="I982" s="62" t="s">
        <v>1103</v>
      </c>
      <c r="J982" s="62" t="s">
        <v>1103</v>
      </c>
    </row>
    <row r="983" spans="1:10" ht="13.5" customHeight="1">
      <c r="A983" s="52">
        <v>7</v>
      </c>
      <c r="B983" s="89">
        <v>3</v>
      </c>
      <c r="C983" s="52">
        <v>9</v>
      </c>
      <c r="D983" s="52">
        <v>0</v>
      </c>
      <c r="E983" s="52">
        <v>7390</v>
      </c>
      <c r="F983" s="97" t="s">
        <v>1207</v>
      </c>
      <c r="G983" s="53" t="s">
        <v>1103</v>
      </c>
      <c r="H983" s="54" t="s">
        <v>1103</v>
      </c>
      <c r="I983" s="54" t="s">
        <v>1103</v>
      </c>
      <c r="J983" s="54" t="s">
        <v>1103</v>
      </c>
    </row>
    <row r="984" spans="1:10" ht="13.5" customHeight="1">
      <c r="A984" s="55">
        <v>7</v>
      </c>
      <c r="B984" s="91">
        <v>3</v>
      </c>
      <c r="C984" s="55">
        <v>9</v>
      </c>
      <c r="D984" s="55">
        <v>1</v>
      </c>
      <c r="E984" s="56">
        <v>7391</v>
      </c>
      <c r="F984" s="95" t="s">
        <v>1208</v>
      </c>
      <c r="G984" s="57" t="s">
        <v>1103</v>
      </c>
      <c r="H984" s="58" t="s">
        <v>1103</v>
      </c>
      <c r="I984" s="58" t="s">
        <v>1103</v>
      </c>
      <c r="J984" s="58" t="s">
        <v>1103</v>
      </c>
    </row>
    <row r="985" spans="1:10" ht="13.5" customHeight="1">
      <c r="A985" s="59">
        <v>7</v>
      </c>
      <c r="B985" s="92">
        <v>3</v>
      </c>
      <c r="C985" s="59">
        <v>9</v>
      </c>
      <c r="D985" s="59">
        <v>2</v>
      </c>
      <c r="E985" s="60">
        <v>7392</v>
      </c>
      <c r="F985" s="96" t="s">
        <v>1209</v>
      </c>
      <c r="G985" s="61" t="s">
        <v>1103</v>
      </c>
      <c r="H985" s="62" t="s">
        <v>1103</v>
      </c>
      <c r="I985" s="62" t="s">
        <v>1103</v>
      </c>
      <c r="J985" s="62" t="s">
        <v>1103</v>
      </c>
    </row>
    <row r="986" spans="1:10" ht="13.5" customHeight="1">
      <c r="A986" s="59">
        <v>7</v>
      </c>
      <c r="B986" s="92">
        <v>3</v>
      </c>
      <c r="C986" s="59">
        <v>9</v>
      </c>
      <c r="D986" s="59">
        <v>3</v>
      </c>
      <c r="E986" s="60">
        <v>7393</v>
      </c>
      <c r="F986" s="96" t="s">
        <v>1210</v>
      </c>
      <c r="G986" s="61" t="s">
        <v>1103</v>
      </c>
      <c r="H986" s="62" t="s">
        <v>1103</v>
      </c>
      <c r="I986" s="62" t="s">
        <v>1103</v>
      </c>
      <c r="J986" s="62" t="s">
        <v>1103</v>
      </c>
    </row>
    <row r="987" spans="1:10" ht="13.5" customHeight="1">
      <c r="A987" s="59">
        <v>7</v>
      </c>
      <c r="B987" s="92">
        <v>3</v>
      </c>
      <c r="C987" s="59">
        <v>9</v>
      </c>
      <c r="D987" s="59">
        <v>4</v>
      </c>
      <c r="E987" s="60">
        <v>7394</v>
      </c>
      <c r="F987" s="96" t="s">
        <v>1211</v>
      </c>
      <c r="G987" s="61" t="s">
        <v>1103</v>
      </c>
      <c r="H987" s="62" t="s">
        <v>1103</v>
      </c>
      <c r="I987" s="62" t="s">
        <v>1103</v>
      </c>
      <c r="J987" s="62" t="s">
        <v>1103</v>
      </c>
    </row>
    <row r="988" spans="1:10" ht="13.5" customHeight="1">
      <c r="A988" s="59">
        <v>7</v>
      </c>
      <c r="B988" s="92">
        <v>3</v>
      </c>
      <c r="C988" s="59">
        <v>9</v>
      </c>
      <c r="D988" s="59">
        <v>5</v>
      </c>
      <c r="E988" s="60">
        <v>7395</v>
      </c>
      <c r="F988" s="96" t="s">
        <v>1080</v>
      </c>
      <c r="G988" s="61" t="s">
        <v>1103</v>
      </c>
      <c r="H988" s="62" t="s">
        <v>1103</v>
      </c>
      <c r="I988" s="62" t="s">
        <v>1103</v>
      </c>
      <c r="J988" s="62" t="s">
        <v>1103</v>
      </c>
    </row>
    <row r="989" spans="1:10" ht="13.5" customHeight="1">
      <c r="A989" s="59">
        <v>7</v>
      </c>
      <c r="B989" s="92">
        <v>3</v>
      </c>
      <c r="C989" s="59">
        <v>9</v>
      </c>
      <c r="D989" s="59">
        <v>6</v>
      </c>
      <c r="E989" s="60">
        <v>7396</v>
      </c>
      <c r="F989" s="96" t="s">
        <v>1212</v>
      </c>
      <c r="G989" s="61" t="s">
        <v>1103</v>
      </c>
      <c r="H989" s="62" t="s">
        <v>1103</v>
      </c>
      <c r="I989" s="62" t="s">
        <v>1103</v>
      </c>
      <c r="J989" s="62" t="s">
        <v>1103</v>
      </c>
    </row>
    <row r="990" spans="1:10" ht="13.5" customHeight="1">
      <c r="A990" s="59">
        <v>7</v>
      </c>
      <c r="B990" s="93">
        <v>3</v>
      </c>
      <c r="C990" s="59">
        <v>9</v>
      </c>
      <c r="D990" s="59">
        <v>7</v>
      </c>
      <c r="E990" s="60">
        <v>7397</v>
      </c>
      <c r="F990" s="96" t="s">
        <v>1213</v>
      </c>
      <c r="G990" s="61" t="s">
        <v>529</v>
      </c>
      <c r="H990" s="62" t="s">
        <v>529</v>
      </c>
      <c r="I990" s="62" t="s">
        <v>529</v>
      </c>
      <c r="J990" s="62" t="s">
        <v>529</v>
      </c>
    </row>
    <row r="991" spans="1:10" ht="13.5" customHeight="1">
      <c r="A991" s="46">
        <v>7</v>
      </c>
      <c r="B991" s="90">
        <v>4</v>
      </c>
      <c r="C991" s="46">
        <v>0</v>
      </c>
      <c r="D991" s="46">
        <v>0</v>
      </c>
      <c r="E991" s="46">
        <v>7400</v>
      </c>
      <c r="F991" s="99" t="s">
        <v>1214</v>
      </c>
      <c r="G991" s="50"/>
      <c r="H991" s="51"/>
      <c r="I991" s="51"/>
      <c r="J991" s="51"/>
    </row>
    <row r="992" spans="1:10" ht="13.5" customHeight="1">
      <c r="A992" s="52">
        <v>7</v>
      </c>
      <c r="B992" s="89">
        <v>4</v>
      </c>
      <c r="C992" s="52">
        <v>1</v>
      </c>
      <c r="D992" s="52">
        <v>0</v>
      </c>
      <c r="E992" s="52">
        <v>7410</v>
      </c>
      <c r="F992" s="97" t="s">
        <v>1215</v>
      </c>
      <c r="G992" s="68"/>
      <c r="H992" s="69"/>
      <c r="I992" s="69"/>
      <c r="J992" s="69"/>
    </row>
    <row r="993" spans="1:10" ht="13.5" customHeight="1">
      <c r="A993" s="55">
        <v>7</v>
      </c>
      <c r="B993" s="91">
        <v>4</v>
      </c>
      <c r="C993" s="55">
        <v>1</v>
      </c>
      <c r="D993" s="55">
        <v>1</v>
      </c>
      <c r="E993" s="56">
        <v>7411</v>
      </c>
      <c r="F993" s="95" t="s">
        <v>1216</v>
      </c>
      <c r="G993" s="70"/>
      <c r="H993" s="193"/>
      <c r="I993" s="193"/>
      <c r="J993" s="193"/>
    </row>
    <row r="994" spans="1:10" ht="13.5" customHeight="1">
      <c r="A994" s="59">
        <v>7</v>
      </c>
      <c r="B994" s="92">
        <v>4</v>
      </c>
      <c r="C994" s="59">
        <v>1</v>
      </c>
      <c r="D994" s="59">
        <v>3</v>
      </c>
      <c r="E994" s="60">
        <v>7413</v>
      </c>
      <c r="F994" s="96" t="s">
        <v>1217</v>
      </c>
      <c r="G994" s="72"/>
      <c r="H994" s="194"/>
      <c r="I994" s="194"/>
      <c r="J994" s="194"/>
    </row>
    <row r="995" spans="1:10" ht="13.5" customHeight="1">
      <c r="A995" s="59">
        <v>7</v>
      </c>
      <c r="B995" s="92">
        <v>4</v>
      </c>
      <c r="C995" s="59">
        <v>1</v>
      </c>
      <c r="D995" s="59">
        <v>4</v>
      </c>
      <c r="E995" s="60">
        <v>7414</v>
      </c>
      <c r="F995" s="96" t="s">
        <v>1218</v>
      </c>
      <c r="G995" s="72"/>
      <c r="H995" s="194"/>
      <c r="I995" s="194"/>
      <c r="J995" s="194"/>
    </row>
    <row r="996" spans="1:10" ht="13.5" customHeight="1">
      <c r="A996" s="59">
        <v>7</v>
      </c>
      <c r="B996" s="92">
        <v>4</v>
      </c>
      <c r="C996" s="59">
        <v>1</v>
      </c>
      <c r="D996" s="59">
        <v>5</v>
      </c>
      <c r="E996" s="60">
        <v>7415</v>
      </c>
      <c r="F996" s="96" t="s">
        <v>1219</v>
      </c>
      <c r="G996" s="72"/>
      <c r="H996" s="194"/>
      <c r="I996" s="194"/>
      <c r="J996" s="194"/>
    </row>
    <row r="997" spans="1:10" ht="13.5" customHeight="1">
      <c r="A997" s="59">
        <v>7</v>
      </c>
      <c r="B997" s="92">
        <v>4</v>
      </c>
      <c r="C997" s="59">
        <v>1</v>
      </c>
      <c r="D997" s="59">
        <v>6</v>
      </c>
      <c r="E997" s="60">
        <v>7416</v>
      </c>
      <c r="F997" s="96" t="s">
        <v>1220</v>
      </c>
      <c r="G997" s="72"/>
      <c r="H997" s="194"/>
      <c r="I997" s="194"/>
      <c r="J997" s="194"/>
    </row>
    <row r="998" spans="1:10" ht="13.5" customHeight="1">
      <c r="A998" s="59">
        <v>7</v>
      </c>
      <c r="B998" s="92">
        <v>4</v>
      </c>
      <c r="C998" s="59">
        <v>1</v>
      </c>
      <c r="D998" s="59">
        <v>7</v>
      </c>
      <c r="E998" s="60">
        <v>7417</v>
      </c>
      <c r="F998" s="96" t="s">
        <v>1221</v>
      </c>
      <c r="G998" s="72"/>
      <c r="H998" s="194"/>
      <c r="I998" s="194"/>
      <c r="J998" s="194"/>
    </row>
    <row r="999" spans="1:10" ht="13.5" customHeight="1">
      <c r="A999" s="59">
        <v>7</v>
      </c>
      <c r="B999" s="93">
        <v>4</v>
      </c>
      <c r="C999" s="59">
        <v>1</v>
      </c>
      <c r="D999" s="59">
        <v>8</v>
      </c>
      <c r="E999" s="60">
        <v>7418</v>
      </c>
      <c r="F999" s="96" t="s">
        <v>1222</v>
      </c>
      <c r="G999" s="72"/>
      <c r="H999" s="194"/>
      <c r="I999" s="194"/>
      <c r="J999" s="194"/>
    </row>
    <row r="1000" spans="1:10" ht="13.5" customHeight="1">
      <c r="A1000" s="52">
        <v>7</v>
      </c>
      <c r="B1000" s="89">
        <v>4</v>
      </c>
      <c r="C1000" s="52">
        <v>2</v>
      </c>
      <c r="D1000" s="52">
        <v>0</v>
      </c>
      <c r="E1000" s="52">
        <v>7420</v>
      </c>
      <c r="F1000" s="97" t="s">
        <v>1059</v>
      </c>
      <c r="G1000" s="68"/>
      <c r="H1000" s="69"/>
      <c r="I1000" s="69"/>
      <c r="J1000" s="69"/>
    </row>
    <row r="1001" spans="1:10" ht="13.5" customHeight="1">
      <c r="A1001" s="55">
        <v>7</v>
      </c>
      <c r="B1001" s="91">
        <v>4</v>
      </c>
      <c r="C1001" s="55">
        <v>2</v>
      </c>
      <c r="D1001" s="55">
        <v>1</v>
      </c>
      <c r="E1001" s="56">
        <v>7421</v>
      </c>
      <c r="F1001" s="95" t="s">
        <v>1223</v>
      </c>
      <c r="G1001" s="70"/>
      <c r="H1001" s="193"/>
      <c r="I1001" s="193"/>
      <c r="J1001" s="193"/>
    </row>
    <row r="1002" spans="1:10" ht="13.5" customHeight="1">
      <c r="A1002" s="59">
        <v>7</v>
      </c>
      <c r="B1002" s="92">
        <v>4</v>
      </c>
      <c r="C1002" s="59">
        <v>2</v>
      </c>
      <c r="D1002" s="59">
        <v>2</v>
      </c>
      <c r="E1002" s="60">
        <v>7422</v>
      </c>
      <c r="F1002" s="96" t="s">
        <v>1224</v>
      </c>
      <c r="G1002" s="72"/>
      <c r="H1002" s="194"/>
      <c r="I1002" s="194"/>
      <c r="J1002" s="194"/>
    </row>
    <row r="1003" spans="1:10" ht="13.5" customHeight="1">
      <c r="A1003" s="59">
        <v>7</v>
      </c>
      <c r="B1003" s="92">
        <v>4</v>
      </c>
      <c r="C1003" s="59">
        <v>2</v>
      </c>
      <c r="D1003" s="59">
        <v>3</v>
      </c>
      <c r="E1003" s="60">
        <v>7423</v>
      </c>
      <c r="F1003" s="96" t="s">
        <v>1225</v>
      </c>
      <c r="G1003" s="72"/>
      <c r="H1003" s="194"/>
      <c r="I1003" s="194"/>
      <c r="J1003" s="194"/>
    </row>
    <row r="1004" spans="1:10" ht="13.5" customHeight="1">
      <c r="A1004" s="59">
        <v>7</v>
      </c>
      <c r="B1004" s="92">
        <v>4</v>
      </c>
      <c r="C1004" s="59">
        <v>2</v>
      </c>
      <c r="D1004" s="59">
        <v>4</v>
      </c>
      <c r="E1004" s="60">
        <v>7424</v>
      </c>
      <c r="F1004" s="96" t="s">
        <v>1226</v>
      </c>
      <c r="G1004" s="72"/>
      <c r="H1004" s="194"/>
      <c r="I1004" s="194"/>
      <c r="J1004" s="194"/>
    </row>
    <row r="1005" spans="1:10" ht="13.5" customHeight="1">
      <c r="A1005" s="59">
        <v>7</v>
      </c>
      <c r="B1005" s="92">
        <v>4</v>
      </c>
      <c r="C1005" s="59">
        <v>2</v>
      </c>
      <c r="D1005" s="59">
        <v>5</v>
      </c>
      <c r="E1005" s="60">
        <v>7425</v>
      </c>
      <c r="F1005" s="96" t="s">
        <v>1227</v>
      </c>
      <c r="G1005" s="72"/>
      <c r="H1005" s="194"/>
      <c r="I1005" s="194"/>
      <c r="J1005" s="194"/>
    </row>
    <row r="1006" spans="1:10" ht="13.5" customHeight="1">
      <c r="A1006" s="59">
        <v>7</v>
      </c>
      <c r="B1006" s="92">
        <v>4</v>
      </c>
      <c r="C1006" s="59">
        <v>2</v>
      </c>
      <c r="D1006" s="59">
        <v>6</v>
      </c>
      <c r="E1006" s="60">
        <v>7426</v>
      </c>
      <c r="F1006" s="96" t="s">
        <v>1228</v>
      </c>
      <c r="G1006" s="72"/>
      <c r="H1006" s="194"/>
      <c r="I1006" s="194"/>
      <c r="J1006" s="194"/>
    </row>
    <row r="1007" spans="1:10" ht="13.5" customHeight="1">
      <c r="A1007" s="59">
        <v>7</v>
      </c>
      <c r="B1007" s="92">
        <v>4</v>
      </c>
      <c r="C1007" s="59">
        <v>2</v>
      </c>
      <c r="D1007" s="59">
        <v>7</v>
      </c>
      <c r="E1007" s="60">
        <v>7427</v>
      </c>
      <c r="F1007" s="96" t="s">
        <v>1229</v>
      </c>
      <c r="G1007" s="72"/>
      <c r="H1007" s="194"/>
      <c r="I1007" s="194"/>
      <c r="J1007" s="194"/>
    </row>
    <row r="1008" spans="1:10" ht="13.5" customHeight="1">
      <c r="A1008" s="59">
        <v>7</v>
      </c>
      <c r="B1008" s="92">
        <v>4</v>
      </c>
      <c r="C1008" s="59">
        <v>2</v>
      </c>
      <c r="D1008" s="59">
        <v>8</v>
      </c>
      <c r="E1008" s="60">
        <v>7428</v>
      </c>
      <c r="F1008" s="96" t="s">
        <v>1230</v>
      </c>
      <c r="G1008" s="72"/>
      <c r="H1008" s="194"/>
      <c r="I1008" s="194"/>
      <c r="J1008" s="194"/>
    </row>
    <row r="1009" spans="1:10" ht="13.5" customHeight="1">
      <c r="A1009" s="63">
        <v>7</v>
      </c>
      <c r="B1009" s="93">
        <v>4</v>
      </c>
      <c r="C1009" s="63">
        <v>2</v>
      </c>
      <c r="D1009" s="63">
        <v>9</v>
      </c>
      <c r="E1009" s="64">
        <v>7429</v>
      </c>
      <c r="F1009" s="98" t="s">
        <v>1231</v>
      </c>
      <c r="G1009" s="74"/>
      <c r="H1009" s="195"/>
      <c r="I1009" s="195"/>
      <c r="J1009" s="195"/>
    </row>
    <row r="1010" spans="1:10" ht="13.5" customHeight="1">
      <c r="A1010" s="52">
        <v>7</v>
      </c>
      <c r="B1010" s="89">
        <v>4</v>
      </c>
      <c r="C1010" s="52">
        <v>3</v>
      </c>
      <c r="D1010" s="52">
        <v>0</v>
      </c>
      <c r="E1010" s="52">
        <v>7430</v>
      </c>
      <c r="F1010" s="97" t="s">
        <v>1232</v>
      </c>
      <c r="G1010" s="68"/>
      <c r="H1010" s="69"/>
      <c r="I1010" s="69"/>
      <c r="J1010" s="69"/>
    </row>
    <row r="1011" spans="1:10" ht="13.5" customHeight="1">
      <c r="A1011" s="55">
        <v>7</v>
      </c>
      <c r="B1011" s="91">
        <v>4</v>
      </c>
      <c r="C1011" s="55">
        <v>3</v>
      </c>
      <c r="D1011" s="55">
        <v>1</v>
      </c>
      <c r="E1011" s="56">
        <v>7431</v>
      </c>
      <c r="F1011" s="95" t="s">
        <v>1233</v>
      </c>
      <c r="G1011" s="70"/>
      <c r="H1011" s="193"/>
      <c r="I1011" s="193"/>
      <c r="J1011" s="193"/>
    </row>
    <row r="1012" spans="1:10" ht="13.5" customHeight="1">
      <c r="A1012" s="59">
        <v>7</v>
      </c>
      <c r="B1012" s="92">
        <v>4</v>
      </c>
      <c r="C1012" s="59">
        <v>3</v>
      </c>
      <c r="D1012" s="59">
        <v>2</v>
      </c>
      <c r="E1012" s="60">
        <v>7432</v>
      </c>
      <c r="F1012" s="96" t="s">
        <v>1234</v>
      </c>
      <c r="G1012" s="72"/>
      <c r="H1012" s="194"/>
      <c r="I1012" s="194"/>
      <c r="J1012" s="194"/>
    </row>
    <row r="1013" spans="1:10" ht="13.5" customHeight="1">
      <c r="A1013" s="59">
        <v>7</v>
      </c>
      <c r="B1013" s="92">
        <v>4</v>
      </c>
      <c r="C1013" s="59">
        <v>3</v>
      </c>
      <c r="D1013" s="59">
        <v>3</v>
      </c>
      <c r="E1013" s="60">
        <v>7433</v>
      </c>
      <c r="F1013" s="96" t="s">
        <v>1230</v>
      </c>
      <c r="G1013" s="72"/>
      <c r="H1013" s="194"/>
      <c r="I1013" s="194"/>
      <c r="J1013" s="194"/>
    </row>
    <row r="1014" spans="1:10" ht="13.5" customHeight="1">
      <c r="A1014" s="59">
        <v>7</v>
      </c>
      <c r="B1014" s="92">
        <v>4</v>
      </c>
      <c r="C1014" s="59">
        <v>3</v>
      </c>
      <c r="D1014" s="59">
        <v>4</v>
      </c>
      <c r="E1014" s="60">
        <v>7434</v>
      </c>
      <c r="F1014" s="96" t="s">
        <v>1235</v>
      </c>
      <c r="G1014" s="72"/>
      <c r="H1014" s="194"/>
      <c r="I1014" s="194"/>
      <c r="J1014" s="194"/>
    </row>
    <row r="1015" spans="1:10" ht="13.5" customHeight="1">
      <c r="A1015" s="59">
        <v>7</v>
      </c>
      <c r="B1015" s="92">
        <v>4</v>
      </c>
      <c r="C1015" s="59">
        <v>3</v>
      </c>
      <c r="D1015" s="59">
        <v>5</v>
      </c>
      <c r="E1015" s="60">
        <v>7435</v>
      </c>
      <c r="F1015" s="96" t="s">
        <v>1236</v>
      </c>
      <c r="G1015" s="72"/>
      <c r="H1015" s="194"/>
      <c r="I1015" s="194"/>
      <c r="J1015" s="194"/>
    </row>
    <row r="1016" spans="1:10" ht="13.5" customHeight="1">
      <c r="A1016" s="59">
        <v>7</v>
      </c>
      <c r="B1016" s="92">
        <v>4</v>
      </c>
      <c r="C1016" s="59">
        <v>3</v>
      </c>
      <c r="D1016" s="59">
        <v>6</v>
      </c>
      <c r="E1016" s="60">
        <v>7436</v>
      </c>
      <c r="F1016" s="96" t="s">
        <v>1237</v>
      </c>
      <c r="G1016" s="72"/>
      <c r="H1016" s="194"/>
      <c r="I1016" s="194"/>
      <c r="J1016" s="194"/>
    </row>
    <row r="1017" spans="1:10" ht="13.5" customHeight="1">
      <c r="A1017" s="59">
        <v>7</v>
      </c>
      <c r="B1017" s="92">
        <v>4</v>
      </c>
      <c r="C1017" s="59">
        <v>3</v>
      </c>
      <c r="D1017" s="59">
        <v>7</v>
      </c>
      <c r="E1017" s="60">
        <v>7437</v>
      </c>
      <c r="F1017" s="96" t="s">
        <v>1238</v>
      </c>
      <c r="G1017" s="72"/>
      <c r="H1017" s="194"/>
      <c r="I1017" s="194"/>
      <c r="J1017" s="194"/>
    </row>
    <row r="1018" spans="1:10" ht="13.5" customHeight="1">
      <c r="A1018" s="59">
        <v>7</v>
      </c>
      <c r="B1018" s="92">
        <v>4</v>
      </c>
      <c r="C1018" s="59">
        <v>3</v>
      </c>
      <c r="D1018" s="59">
        <v>8</v>
      </c>
      <c r="E1018" s="60">
        <v>7438</v>
      </c>
      <c r="F1018" s="96" t="s">
        <v>1239</v>
      </c>
      <c r="G1018" s="72"/>
      <c r="H1018" s="194"/>
      <c r="I1018" s="194"/>
      <c r="J1018" s="194"/>
    </row>
    <row r="1019" spans="1:10" ht="13.5" customHeight="1">
      <c r="A1019" s="63">
        <v>7</v>
      </c>
      <c r="B1019" s="93">
        <v>4</v>
      </c>
      <c r="C1019" s="63">
        <v>3</v>
      </c>
      <c r="D1019" s="63">
        <v>9</v>
      </c>
      <c r="E1019" s="64">
        <v>7439</v>
      </c>
      <c r="F1019" s="98" t="s">
        <v>1240</v>
      </c>
      <c r="G1019" s="74"/>
      <c r="H1019" s="195"/>
      <c r="I1019" s="195"/>
      <c r="J1019" s="195"/>
    </row>
    <row r="1020" spans="1:10" ht="13.5" customHeight="1">
      <c r="A1020" s="52">
        <v>7</v>
      </c>
      <c r="B1020" s="89">
        <v>4</v>
      </c>
      <c r="C1020" s="52">
        <v>4</v>
      </c>
      <c r="D1020" s="52">
        <v>0</v>
      </c>
      <c r="E1020" s="52">
        <v>7440</v>
      </c>
      <c r="F1020" s="97" t="s">
        <v>1241</v>
      </c>
      <c r="G1020" s="68"/>
      <c r="H1020" s="69"/>
      <c r="I1020" s="69"/>
      <c r="J1020" s="69"/>
    </row>
    <row r="1021" spans="1:10" ht="13.5" customHeight="1">
      <c r="A1021" s="55">
        <v>7</v>
      </c>
      <c r="B1021" s="91">
        <v>4</v>
      </c>
      <c r="C1021" s="55">
        <v>4</v>
      </c>
      <c r="D1021" s="55">
        <v>1</v>
      </c>
      <c r="E1021" s="56">
        <v>7441</v>
      </c>
      <c r="F1021" s="95" t="s">
        <v>1242</v>
      </c>
      <c r="G1021" s="70"/>
      <c r="H1021" s="193"/>
      <c r="I1021" s="193"/>
      <c r="J1021" s="193"/>
    </row>
    <row r="1022" spans="1:10" ht="13.5" customHeight="1">
      <c r="A1022" s="59">
        <v>7</v>
      </c>
      <c r="B1022" s="92">
        <v>4</v>
      </c>
      <c r="C1022" s="59">
        <v>4</v>
      </c>
      <c r="D1022" s="59">
        <v>2</v>
      </c>
      <c r="E1022" s="60">
        <v>7442</v>
      </c>
      <c r="F1022" s="96" t="s">
        <v>1243</v>
      </c>
      <c r="G1022" s="72"/>
      <c r="H1022" s="194"/>
      <c r="I1022" s="194"/>
      <c r="J1022" s="194"/>
    </row>
    <row r="1023" spans="1:10" ht="13.5" customHeight="1">
      <c r="A1023" s="59">
        <v>7</v>
      </c>
      <c r="B1023" s="92">
        <v>4</v>
      </c>
      <c r="C1023" s="59">
        <v>4</v>
      </c>
      <c r="D1023" s="59">
        <v>3</v>
      </c>
      <c r="E1023" s="60">
        <v>7443</v>
      </c>
      <c r="F1023" s="96" t="s">
        <v>1244</v>
      </c>
      <c r="G1023" s="72"/>
      <c r="H1023" s="194"/>
      <c r="I1023" s="194"/>
      <c r="J1023" s="194"/>
    </row>
    <row r="1024" spans="1:10" ht="13.5" customHeight="1">
      <c r="A1024" s="59">
        <v>7</v>
      </c>
      <c r="B1024" s="92">
        <v>4</v>
      </c>
      <c r="C1024" s="59">
        <v>4</v>
      </c>
      <c r="D1024" s="59">
        <v>4</v>
      </c>
      <c r="E1024" s="60">
        <v>7444</v>
      </c>
      <c r="F1024" s="96" t="s">
        <v>1245</v>
      </c>
      <c r="G1024" s="72"/>
      <c r="H1024" s="194"/>
      <c r="I1024" s="194"/>
      <c r="J1024" s="194"/>
    </row>
    <row r="1025" spans="1:10" ht="13.5" customHeight="1">
      <c r="A1025" s="59">
        <v>7</v>
      </c>
      <c r="B1025" s="92">
        <v>4</v>
      </c>
      <c r="C1025" s="59">
        <v>4</v>
      </c>
      <c r="D1025" s="59">
        <v>5</v>
      </c>
      <c r="E1025" s="60">
        <v>7445</v>
      </c>
      <c r="F1025" s="96" t="s">
        <v>1246</v>
      </c>
      <c r="G1025" s="72"/>
      <c r="H1025" s="194"/>
      <c r="I1025" s="194"/>
      <c r="J1025" s="194"/>
    </row>
    <row r="1026" spans="1:10" ht="13.5" customHeight="1">
      <c r="A1026" s="59">
        <v>7</v>
      </c>
      <c r="B1026" s="92">
        <v>4</v>
      </c>
      <c r="C1026" s="59">
        <v>4</v>
      </c>
      <c r="D1026" s="59">
        <v>6</v>
      </c>
      <c r="E1026" s="60">
        <v>7446</v>
      </c>
      <c r="F1026" s="96" t="s">
        <v>1247</v>
      </c>
      <c r="G1026" s="72"/>
      <c r="H1026" s="194"/>
      <c r="I1026" s="194"/>
      <c r="J1026" s="194"/>
    </row>
    <row r="1027" spans="1:10" ht="13.5" customHeight="1">
      <c r="A1027" s="59">
        <v>7</v>
      </c>
      <c r="B1027" s="92">
        <v>4</v>
      </c>
      <c r="C1027" s="59">
        <v>4</v>
      </c>
      <c r="D1027" s="59">
        <v>7</v>
      </c>
      <c r="E1027" s="60">
        <v>7447</v>
      </c>
      <c r="F1027" s="96" t="s">
        <v>1248</v>
      </c>
      <c r="G1027" s="72"/>
      <c r="H1027" s="194"/>
      <c r="I1027" s="194"/>
      <c r="J1027" s="194"/>
    </row>
    <row r="1028" spans="1:10" ht="13.5" customHeight="1">
      <c r="A1028" s="59">
        <v>7</v>
      </c>
      <c r="B1028" s="92">
        <v>4</v>
      </c>
      <c r="C1028" s="59">
        <v>4</v>
      </c>
      <c r="D1028" s="59">
        <v>8</v>
      </c>
      <c r="E1028" s="60">
        <v>7448</v>
      </c>
      <c r="F1028" s="96" t="s">
        <v>1249</v>
      </c>
      <c r="G1028" s="72"/>
      <c r="H1028" s="194"/>
      <c r="I1028" s="194"/>
      <c r="J1028" s="194"/>
    </row>
    <row r="1029" spans="1:10" ht="13.5" customHeight="1">
      <c r="A1029" s="63">
        <v>7</v>
      </c>
      <c r="B1029" s="93">
        <v>4</v>
      </c>
      <c r="C1029" s="63">
        <v>4</v>
      </c>
      <c r="D1029" s="63">
        <v>9</v>
      </c>
      <c r="E1029" s="64">
        <v>7449</v>
      </c>
      <c r="F1029" s="98" t="s">
        <v>1250</v>
      </c>
      <c r="G1029" s="74"/>
      <c r="H1029" s="195"/>
      <c r="I1029" s="195"/>
      <c r="J1029" s="195"/>
    </row>
    <row r="1030" spans="1:10" ht="13.5" customHeight="1">
      <c r="A1030" s="52">
        <v>7</v>
      </c>
      <c r="B1030" s="89">
        <v>4</v>
      </c>
      <c r="C1030" s="52">
        <v>5</v>
      </c>
      <c r="D1030" s="52">
        <v>0</v>
      </c>
      <c r="E1030" s="52">
        <v>7450</v>
      </c>
      <c r="F1030" s="97" t="s">
        <v>1251</v>
      </c>
      <c r="G1030" s="68"/>
      <c r="H1030" s="69"/>
      <c r="I1030" s="69"/>
      <c r="J1030" s="69"/>
    </row>
    <row r="1031" spans="1:10" ht="13.5" customHeight="1">
      <c r="A1031" s="55">
        <v>7</v>
      </c>
      <c r="B1031" s="91">
        <v>4</v>
      </c>
      <c r="C1031" s="55">
        <v>5</v>
      </c>
      <c r="D1031" s="55">
        <v>1</v>
      </c>
      <c r="E1031" s="56">
        <v>7451</v>
      </c>
      <c r="F1031" s="95" t="s">
        <v>1252</v>
      </c>
      <c r="G1031" s="70"/>
      <c r="H1031" s="193"/>
      <c r="I1031" s="193"/>
      <c r="J1031" s="193"/>
    </row>
    <row r="1032" spans="1:10" ht="13.5" customHeight="1">
      <c r="A1032" s="59">
        <v>7</v>
      </c>
      <c r="B1032" s="92">
        <v>4</v>
      </c>
      <c r="C1032" s="59">
        <v>5</v>
      </c>
      <c r="D1032" s="59">
        <v>2</v>
      </c>
      <c r="E1032" s="60">
        <v>7452</v>
      </c>
      <c r="F1032" s="96" t="s">
        <v>1253</v>
      </c>
      <c r="G1032" s="72"/>
      <c r="H1032" s="194"/>
      <c r="I1032" s="194"/>
      <c r="J1032" s="194"/>
    </row>
    <row r="1033" spans="1:10" ht="13.5" customHeight="1">
      <c r="A1033" s="59">
        <v>7</v>
      </c>
      <c r="B1033" s="92">
        <v>4</v>
      </c>
      <c r="C1033" s="59">
        <v>5</v>
      </c>
      <c r="D1033" s="59">
        <v>3</v>
      </c>
      <c r="E1033" s="60">
        <v>7453</v>
      </c>
      <c r="F1033" s="96" t="s">
        <v>1254</v>
      </c>
      <c r="G1033" s="72"/>
      <c r="H1033" s="194"/>
      <c r="I1033" s="194"/>
      <c r="J1033" s="194"/>
    </row>
    <row r="1034" spans="1:10" ht="13.5" customHeight="1">
      <c r="A1034" s="59">
        <v>7</v>
      </c>
      <c r="B1034" s="92">
        <v>4</v>
      </c>
      <c r="C1034" s="59">
        <v>5</v>
      </c>
      <c r="D1034" s="59">
        <v>4</v>
      </c>
      <c r="E1034" s="60">
        <v>7454</v>
      </c>
      <c r="F1034" s="96" t="s">
        <v>1255</v>
      </c>
      <c r="G1034" s="72"/>
      <c r="H1034" s="194"/>
      <c r="I1034" s="194"/>
      <c r="J1034" s="194"/>
    </row>
    <row r="1035" spans="1:10" ht="13.5" customHeight="1">
      <c r="A1035" s="59">
        <v>7</v>
      </c>
      <c r="B1035" s="92">
        <v>4</v>
      </c>
      <c r="C1035" s="59">
        <v>5</v>
      </c>
      <c r="D1035" s="59">
        <v>5</v>
      </c>
      <c r="E1035" s="60">
        <v>7455</v>
      </c>
      <c r="F1035" s="96" t="s">
        <v>1256</v>
      </c>
      <c r="G1035" s="72"/>
      <c r="H1035" s="194"/>
      <c r="I1035" s="194"/>
      <c r="J1035" s="194"/>
    </row>
    <row r="1036" spans="1:10" ht="13.5" customHeight="1">
      <c r="A1036" s="59">
        <v>7</v>
      </c>
      <c r="B1036" s="92">
        <v>4</v>
      </c>
      <c r="C1036" s="59">
        <v>5</v>
      </c>
      <c r="D1036" s="59">
        <v>6</v>
      </c>
      <c r="E1036" s="60">
        <v>7456</v>
      </c>
      <c r="F1036" s="96" t="s">
        <v>1257</v>
      </c>
      <c r="G1036" s="72"/>
      <c r="H1036" s="194"/>
      <c r="I1036" s="194"/>
      <c r="J1036" s="194"/>
    </row>
    <row r="1037" spans="1:10" ht="13.5" customHeight="1">
      <c r="A1037" s="59">
        <v>7</v>
      </c>
      <c r="B1037" s="92">
        <v>4</v>
      </c>
      <c r="C1037" s="59">
        <v>5</v>
      </c>
      <c r="D1037" s="59">
        <v>7</v>
      </c>
      <c r="E1037" s="60">
        <v>7457</v>
      </c>
      <c r="F1037" s="96" t="s">
        <v>1258</v>
      </c>
      <c r="G1037" s="72"/>
      <c r="H1037" s="194"/>
      <c r="I1037" s="194"/>
      <c r="J1037" s="194"/>
    </row>
    <row r="1038" spans="1:10" ht="13.5" customHeight="1">
      <c r="A1038" s="59">
        <v>7</v>
      </c>
      <c r="B1038" s="93">
        <v>4</v>
      </c>
      <c r="C1038" s="59">
        <v>5</v>
      </c>
      <c r="D1038" s="59">
        <v>8</v>
      </c>
      <c r="E1038" s="60">
        <v>7458</v>
      </c>
      <c r="F1038" s="96" t="s">
        <v>1259</v>
      </c>
      <c r="G1038" s="72"/>
      <c r="H1038" s="194"/>
      <c r="I1038" s="194"/>
      <c r="J1038" s="194"/>
    </row>
    <row r="1039" spans="1:10" ht="13.5" customHeight="1">
      <c r="A1039" s="52">
        <v>7</v>
      </c>
      <c r="B1039" s="89">
        <v>4</v>
      </c>
      <c r="C1039" s="52">
        <v>6</v>
      </c>
      <c r="D1039" s="52">
        <v>0</v>
      </c>
      <c r="E1039" s="52">
        <v>7460</v>
      </c>
      <c r="F1039" s="97" t="s">
        <v>1260</v>
      </c>
      <c r="G1039" s="68"/>
      <c r="H1039" s="69"/>
      <c r="I1039" s="69"/>
      <c r="J1039" s="69"/>
    </row>
    <row r="1040" spans="1:10" ht="13.5" customHeight="1">
      <c r="A1040" s="55">
        <v>7</v>
      </c>
      <c r="B1040" s="91">
        <v>4</v>
      </c>
      <c r="C1040" s="55">
        <v>6</v>
      </c>
      <c r="D1040" s="55">
        <v>1</v>
      </c>
      <c r="E1040" s="56">
        <v>7461</v>
      </c>
      <c r="F1040" s="95" t="s">
        <v>1261</v>
      </c>
      <c r="G1040" s="70"/>
      <c r="H1040" s="193"/>
      <c r="I1040" s="193"/>
      <c r="J1040" s="193"/>
    </row>
    <row r="1041" spans="1:10" ht="13.5" customHeight="1">
      <c r="A1041" s="59">
        <v>7</v>
      </c>
      <c r="B1041" s="92">
        <v>4</v>
      </c>
      <c r="C1041" s="59">
        <v>6</v>
      </c>
      <c r="D1041" s="59">
        <v>2</v>
      </c>
      <c r="E1041" s="60">
        <v>7462</v>
      </c>
      <c r="F1041" s="96" t="s">
        <v>1262</v>
      </c>
      <c r="G1041" s="72"/>
      <c r="H1041" s="194"/>
      <c r="I1041" s="194"/>
      <c r="J1041" s="194"/>
    </row>
    <row r="1042" spans="1:10" ht="13.5" customHeight="1">
      <c r="A1042" s="59">
        <v>7</v>
      </c>
      <c r="B1042" s="92">
        <v>4</v>
      </c>
      <c r="C1042" s="59">
        <v>6</v>
      </c>
      <c r="D1042" s="59">
        <v>3</v>
      </c>
      <c r="E1042" s="60">
        <v>7463</v>
      </c>
      <c r="F1042" s="96" t="s">
        <v>1263</v>
      </c>
      <c r="G1042" s="72"/>
      <c r="H1042" s="194"/>
      <c r="I1042" s="194"/>
      <c r="J1042" s="194"/>
    </row>
    <row r="1043" spans="1:10" ht="13.5" customHeight="1">
      <c r="A1043" s="59">
        <v>7</v>
      </c>
      <c r="B1043" s="92">
        <v>4</v>
      </c>
      <c r="C1043" s="59">
        <v>6</v>
      </c>
      <c r="D1043" s="59">
        <v>4</v>
      </c>
      <c r="E1043" s="60">
        <v>7464</v>
      </c>
      <c r="F1043" s="96" t="s">
        <v>1264</v>
      </c>
      <c r="G1043" s="72"/>
      <c r="H1043" s="194"/>
      <c r="I1043" s="194"/>
      <c r="J1043" s="194"/>
    </row>
    <row r="1044" spans="1:10" ht="13.5" customHeight="1">
      <c r="A1044" s="59">
        <v>7</v>
      </c>
      <c r="B1044" s="92">
        <v>4</v>
      </c>
      <c r="C1044" s="59">
        <v>6</v>
      </c>
      <c r="D1044" s="59">
        <v>5</v>
      </c>
      <c r="E1044" s="60">
        <v>7465</v>
      </c>
      <c r="F1044" s="96" t="s">
        <v>1265</v>
      </c>
      <c r="G1044" s="72"/>
      <c r="H1044" s="194"/>
      <c r="I1044" s="194"/>
      <c r="J1044" s="194"/>
    </row>
    <row r="1045" spans="1:10" ht="13.5" customHeight="1">
      <c r="A1045" s="59">
        <v>7</v>
      </c>
      <c r="B1045" s="92">
        <v>4</v>
      </c>
      <c r="C1045" s="59">
        <v>6</v>
      </c>
      <c r="D1045" s="59">
        <v>6</v>
      </c>
      <c r="E1045" s="60">
        <v>7466</v>
      </c>
      <c r="F1045" s="96" t="s">
        <v>1266</v>
      </c>
      <c r="G1045" s="72"/>
      <c r="H1045" s="194"/>
      <c r="I1045" s="194"/>
      <c r="J1045" s="194"/>
    </row>
    <row r="1046" spans="1:10" ht="13.5" customHeight="1">
      <c r="A1046" s="59">
        <v>7</v>
      </c>
      <c r="B1046" s="92">
        <v>4</v>
      </c>
      <c r="C1046" s="59">
        <v>6</v>
      </c>
      <c r="D1046" s="59">
        <v>7</v>
      </c>
      <c r="E1046" s="60">
        <v>7467</v>
      </c>
      <c r="F1046" s="96" t="s">
        <v>1231</v>
      </c>
      <c r="G1046" s="72"/>
      <c r="H1046" s="194"/>
      <c r="I1046" s="194"/>
      <c r="J1046" s="194"/>
    </row>
    <row r="1047" spans="1:10" ht="13.5" customHeight="1">
      <c r="A1047" s="59">
        <v>7</v>
      </c>
      <c r="B1047" s="93">
        <v>4</v>
      </c>
      <c r="C1047" s="59">
        <v>6</v>
      </c>
      <c r="D1047" s="59">
        <v>8</v>
      </c>
      <c r="E1047" s="60">
        <v>7468</v>
      </c>
      <c r="F1047" s="96" t="s">
        <v>1230</v>
      </c>
      <c r="G1047" s="72"/>
      <c r="H1047" s="194"/>
      <c r="I1047" s="194"/>
      <c r="J1047" s="194"/>
    </row>
    <row r="1048" spans="1:10" ht="13.5" customHeight="1">
      <c r="A1048" s="52">
        <v>7</v>
      </c>
      <c r="B1048" s="89">
        <v>4</v>
      </c>
      <c r="C1048" s="52">
        <v>7</v>
      </c>
      <c r="D1048" s="52">
        <v>0</v>
      </c>
      <c r="E1048" s="52">
        <v>7470</v>
      </c>
      <c r="F1048" s="97" t="s">
        <v>1267</v>
      </c>
      <c r="G1048" s="68"/>
      <c r="H1048" s="69"/>
      <c r="I1048" s="69"/>
      <c r="J1048" s="69"/>
    </row>
    <row r="1049" spans="1:10" ht="13.5" customHeight="1">
      <c r="A1049" s="55">
        <v>7</v>
      </c>
      <c r="B1049" s="91">
        <v>4</v>
      </c>
      <c r="C1049" s="55">
        <v>7</v>
      </c>
      <c r="D1049" s="55">
        <v>1</v>
      </c>
      <c r="E1049" s="56">
        <v>7471</v>
      </c>
      <c r="F1049" s="95" t="s">
        <v>1242</v>
      </c>
      <c r="G1049" s="70"/>
      <c r="H1049" s="193"/>
      <c r="I1049" s="193"/>
      <c r="J1049" s="193"/>
    </row>
    <row r="1050" spans="1:10" ht="13.5" customHeight="1">
      <c r="A1050" s="59">
        <v>7</v>
      </c>
      <c r="B1050" s="92">
        <v>4</v>
      </c>
      <c r="C1050" s="59">
        <v>7</v>
      </c>
      <c r="D1050" s="59">
        <v>2</v>
      </c>
      <c r="E1050" s="60">
        <v>7472</v>
      </c>
      <c r="F1050" s="96" t="s">
        <v>1243</v>
      </c>
      <c r="G1050" s="72"/>
      <c r="H1050" s="194"/>
      <c r="I1050" s="194"/>
      <c r="J1050" s="194"/>
    </row>
    <row r="1051" spans="1:10" ht="13.5" customHeight="1">
      <c r="A1051" s="59">
        <v>7</v>
      </c>
      <c r="B1051" s="92">
        <v>4</v>
      </c>
      <c r="C1051" s="59">
        <v>7</v>
      </c>
      <c r="D1051" s="59">
        <v>3</v>
      </c>
      <c r="E1051" s="60">
        <v>7473</v>
      </c>
      <c r="F1051" s="96" t="s">
        <v>1268</v>
      </c>
      <c r="G1051" s="72"/>
      <c r="H1051" s="194"/>
      <c r="I1051" s="194"/>
      <c r="J1051" s="194"/>
    </row>
    <row r="1052" spans="1:10" ht="13.5" customHeight="1">
      <c r="A1052" s="59">
        <v>7</v>
      </c>
      <c r="B1052" s="92">
        <v>4</v>
      </c>
      <c r="C1052" s="59">
        <v>7</v>
      </c>
      <c r="D1052" s="59">
        <v>4</v>
      </c>
      <c r="E1052" s="60">
        <v>7474</v>
      </c>
      <c r="F1052" s="96" t="s">
        <v>1269</v>
      </c>
      <c r="G1052" s="72"/>
      <c r="H1052" s="194"/>
      <c r="I1052" s="194"/>
      <c r="J1052" s="194"/>
    </row>
    <row r="1053" spans="1:10" ht="13.5" customHeight="1">
      <c r="A1053" s="59">
        <v>7</v>
      </c>
      <c r="B1053" s="92">
        <v>4</v>
      </c>
      <c r="C1053" s="59">
        <v>7</v>
      </c>
      <c r="D1053" s="59">
        <v>5</v>
      </c>
      <c r="E1053" s="60">
        <v>7475</v>
      </c>
      <c r="F1053" s="96" t="s">
        <v>1270</v>
      </c>
      <c r="G1053" s="72"/>
      <c r="H1053" s="194"/>
      <c r="I1053" s="194"/>
      <c r="J1053" s="194"/>
    </row>
    <row r="1054" spans="1:10" ht="13.5" customHeight="1">
      <c r="A1054" s="59">
        <v>7</v>
      </c>
      <c r="B1054" s="92">
        <v>4</v>
      </c>
      <c r="C1054" s="59">
        <v>7</v>
      </c>
      <c r="D1054" s="59">
        <v>6</v>
      </c>
      <c r="E1054" s="60">
        <v>7476</v>
      </c>
      <c r="F1054" s="96" t="s">
        <v>1271</v>
      </c>
      <c r="G1054" s="72"/>
      <c r="H1054" s="194"/>
      <c r="I1054" s="194"/>
      <c r="J1054" s="194"/>
    </row>
    <row r="1055" spans="1:10" ht="13.5" customHeight="1">
      <c r="A1055" s="59">
        <v>7</v>
      </c>
      <c r="B1055" s="92">
        <v>4</v>
      </c>
      <c r="C1055" s="59">
        <v>7</v>
      </c>
      <c r="D1055" s="59">
        <v>7</v>
      </c>
      <c r="E1055" s="60">
        <v>7477</v>
      </c>
      <c r="F1055" s="96" t="s">
        <v>1272</v>
      </c>
      <c r="G1055" s="72"/>
      <c r="H1055" s="194"/>
      <c r="I1055" s="194"/>
      <c r="J1055" s="194"/>
    </row>
    <row r="1056" spans="1:10" ht="13.5" customHeight="1">
      <c r="A1056" s="59">
        <v>7</v>
      </c>
      <c r="B1056" s="92">
        <v>4</v>
      </c>
      <c r="C1056" s="59">
        <v>7</v>
      </c>
      <c r="D1056" s="59">
        <v>8</v>
      </c>
      <c r="E1056" s="60">
        <v>7478</v>
      </c>
      <c r="F1056" s="96" t="s">
        <v>1235</v>
      </c>
      <c r="G1056" s="72"/>
      <c r="H1056" s="194"/>
      <c r="I1056" s="194"/>
      <c r="J1056" s="194"/>
    </row>
    <row r="1057" spans="1:10" ht="13.5" customHeight="1">
      <c r="A1057" s="63">
        <v>7</v>
      </c>
      <c r="B1057" s="93">
        <v>4</v>
      </c>
      <c r="C1057" s="63">
        <v>7</v>
      </c>
      <c r="D1057" s="63">
        <v>9</v>
      </c>
      <c r="E1057" s="64">
        <v>7479</v>
      </c>
      <c r="F1057" s="98" t="s">
        <v>1273</v>
      </c>
      <c r="G1057" s="74"/>
      <c r="H1057" s="195"/>
      <c r="I1057" s="195"/>
      <c r="J1057" s="195"/>
    </row>
    <row r="1058" spans="1:10" ht="13.5" customHeight="1">
      <c r="A1058" s="52">
        <v>7</v>
      </c>
      <c r="B1058" s="89">
        <v>4</v>
      </c>
      <c r="C1058" s="52">
        <v>8</v>
      </c>
      <c r="D1058" s="52">
        <v>0</v>
      </c>
      <c r="E1058" s="52">
        <v>7480</v>
      </c>
      <c r="F1058" s="97" t="s">
        <v>1274</v>
      </c>
      <c r="G1058" s="68"/>
      <c r="H1058" s="69"/>
      <c r="I1058" s="69"/>
      <c r="J1058" s="69"/>
    </row>
    <row r="1059" spans="1:10" ht="13.5" customHeight="1">
      <c r="A1059" s="55">
        <v>7</v>
      </c>
      <c r="B1059" s="91">
        <v>4</v>
      </c>
      <c r="C1059" s="55">
        <v>8</v>
      </c>
      <c r="D1059" s="55">
        <v>1</v>
      </c>
      <c r="E1059" s="56">
        <v>7481</v>
      </c>
      <c r="F1059" s="95" t="s">
        <v>1275</v>
      </c>
      <c r="G1059" s="70"/>
      <c r="H1059" s="193"/>
      <c r="I1059" s="193"/>
      <c r="J1059" s="193"/>
    </row>
    <row r="1060" spans="1:10" ht="13.5" customHeight="1">
      <c r="A1060" s="59">
        <v>7</v>
      </c>
      <c r="B1060" s="92">
        <v>4</v>
      </c>
      <c r="C1060" s="59">
        <v>8</v>
      </c>
      <c r="D1060" s="59">
        <v>2</v>
      </c>
      <c r="E1060" s="60">
        <v>7482</v>
      </c>
      <c r="F1060" s="96" t="s">
        <v>1276</v>
      </c>
      <c r="G1060" s="72"/>
      <c r="H1060" s="194"/>
      <c r="I1060" s="194"/>
      <c r="J1060" s="194"/>
    </row>
    <row r="1061" spans="1:10" ht="13.5" customHeight="1">
      <c r="A1061" s="59">
        <v>7</v>
      </c>
      <c r="B1061" s="92">
        <v>4</v>
      </c>
      <c r="C1061" s="59">
        <v>8</v>
      </c>
      <c r="D1061" s="59">
        <v>3</v>
      </c>
      <c r="E1061" s="60">
        <v>7483</v>
      </c>
      <c r="F1061" s="96" t="s">
        <v>1277</v>
      </c>
      <c r="G1061" s="72"/>
      <c r="H1061" s="194"/>
      <c r="I1061" s="194"/>
      <c r="J1061" s="194"/>
    </row>
    <row r="1062" spans="1:10" ht="13.5" customHeight="1">
      <c r="A1062" s="59">
        <v>7</v>
      </c>
      <c r="B1062" s="92">
        <v>4</v>
      </c>
      <c r="C1062" s="59">
        <v>8</v>
      </c>
      <c r="D1062" s="59">
        <v>4</v>
      </c>
      <c r="E1062" s="60">
        <v>7484</v>
      </c>
      <c r="F1062" s="96" t="s">
        <v>1278</v>
      </c>
      <c r="G1062" s="72"/>
      <c r="H1062" s="194"/>
      <c r="I1062" s="194"/>
      <c r="J1062" s="194"/>
    </row>
    <row r="1063" spans="1:10" ht="13.5" customHeight="1">
      <c r="A1063" s="59">
        <v>7</v>
      </c>
      <c r="B1063" s="92">
        <v>4</v>
      </c>
      <c r="C1063" s="59">
        <v>8</v>
      </c>
      <c r="D1063" s="59">
        <v>5</v>
      </c>
      <c r="E1063" s="60">
        <v>7485</v>
      </c>
      <c r="F1063" s="96" t="s">
        <v>1279</v>
      </c>
      <c r="G1063" s="72"/>
      <c r="H1063" s="194"/>
      <c r="I1063" s="194"/>
      <c r="J1063" s="194"/>
    </row>
    <row r="1064" spans="1:10" ht="13.5" customHeight="1">
      <c r="A1064" s="59">
        <v>7</v>
      </c>
      <c r="B1064" s="92">
        <v>4</v>
      </c>
      <c r="C1064" s="59">
        <v>8</v>
      </c>
      <c r="D1064" s="59">
        <v>6</v>
      </c>
      <c r="E1064" s="60">
        <v>7486</v>
      </c>
      <c r="F1064" s="96" t="s">
        <v>1280</v>
      </c>
      <c r="G1064" s="72"/>
      <c r="H1064" s="194"/>
      <c r="I1064" s="194"/>
      <c r="J1064" s="194"/>
    </row>
    <row r="1065" spans="1:10" ht="13.5" customHeight="1">
      <c r="A1065" s="59">
        <v>7</v>
      </c>
      <c r="B1065" s="93">
        <v>4</v>
      </c>
      <c r="C1065" s="59">
        <v>8</v>
      </c>
      <c r="D1065" s="59">
        <v>7</v>
      </c>
      <c r="E1065" s="60">
        <v>7487</v>
      </c>
      <c r="F1065" s="96" t="s">
        <v>1281</v>
      </c>
      <c r="G1065" s="72"/>
      <c r="H1065" s="194"/>
      <c r="I1065" s="194"/>
      <c r="J1065" s="194"/>
    </row>
    <row r="1066" spans="1:10" ht="13.5" customHeight="1">
      <c r="A1066" s="52">
        <v>7</v>
      </c>
      <c r="B1066" s="89">
        <v>4</v>
      </c>
      <c r="C1066" s="52">
        <v>9</v>
      </c>
      <c r="D1066" s="52">
        <v>0</v>
      </c>
      <c r="E1066" s="52">
        <v>7490</v>
      </c>
      <c r="F1066" s="97" t="s">
        <v>1282</v>
      </c>
      <c r="G1066" s="68"/>
      <c r="H1066" s="69"/>
      <c r="I1066" s="69"/>
      <c r="J1066" s="69"/>
    </row>
    <row r="1067" spans="1:10" ht="13.5" customHeight="1">
      <c r="A1067" s="55">
        <v>7</v>
      </c>
      <c r="B1067" s="91">
        <v>4</v>
      </c>
      <c r="C1067" s="55">
        <v>9</v>
      </c>
      <c r="D1067" s="55">
        <v>1</v>
      </c>
      <c r="E1067" s="56">
        <v>7491</v>
      </c>
      <c r="F1067" s="95" t="s">
        <v>1283</v>
      </c>
      <c r="G1067" s="70"/>
      <c r="H1067" s="193"/>
      <c r="I1067" s="193"/>
      <c r="J1067" s="193"/>
    </row>
    <row r="1068" spans="1:10" ht="13.5" customHeight="1">
      <c r="A1068" s="59">
        <v>7</v>
      </c>
      <c r="B1068" s="93">
        <v>4</v>
      </c>
      <c r="C1068" s="59">
        <v>9</v>
      </c>
      <c r="D1068" s="59">
        <v>2</v>
      </c>
      <c r="E1068" s="60">
        <v>7492</v>
      </c>
      <c r="F1068" s="96" t="s">
        <v>1284</v>
      </c>
      <c r="G1068" s="72"/>
      <c r="H1068" s="194"/>
      <c r="I1068" s="194"/>
      <c r="J1068" s="194"/>
    </row>
    <row r="1069" spans="1:10" ht="13.5" customHeight="1">
      <c r="A1069" s="42">
        <v>8</v>
      </c>
      <c r="B1069" s="88">
        <v>0</v>
      </c>
      <c r="C1069" s="42">
        <v>0</v>
      </c>
      <c r="D1069" s="42">
        <v>0</v>
      </c>
      <c r="E1069" s="42">
        <v>8000</v>
      </c>
      <c r="F1069" s="100" t="s">
        <v>1285</v>
      </c>
      <c r="G1069" s="84"/>
      <c r="H1069" s="85"/>
      <c r="I1069" s="85"/>
      <c r="J1069" s="85"/>
    </row>
    <row r="1070" spans="1:10" ht="13.5" customHeight="1">
      <c r="A1070" s="46">
        <v>8</v>
      </c>
      <c r="B1070" s="90">
        <v>1</v>
      </c>
      <c r="C1070" s="46">
        <v>0</v>
      </c>
      <c r="D1070" s="46">
        <v>0</v>
      </c>
      <c r="E1070" s="46">
        <v>8100</v>
      </c>
      <c r="F1070" s="99" t="s">
        <v>1286</v>
      </c>
      <c r="G1070" s="50"/>
      <c r="H1070" s="51"/>
      <c r="I1070" s="51"/>
      <c r="J1070" s="51"/>
    </row>
    <row r="1071" spans="1:10" ht="13.5" customHeight="1">
      <c r="A1071" s="46">
        <v>8</v>
      </c>
      <c r="B1071" s="90">
        <v>1</v>
      </c>
      <c r="C1071" s="46">
        <v>0</v>
      </c>
      <c r="D1071" s="46">
        <v>0</v>
      </c>
      <c r="E1071" s="46">
        <v>8100</v>
      </c>
      <c r="F1071" s="99" t="s">
        <v>1287</v>
      </c>
      <c r="G1071" s="50"/>
      <c r="H1071" s="51"/>
      <c r="I1071" s="51"/>
      <c r="J1071" s="51"/>
    </row>
    <row r="1072" spans="1:10" ht="13.5" customHeight="1">
      <c r="A1072" s="55">
        <v>8</v>
      </c>
      <c r="B1072" s="91">
        <v>1</v>
      </c>
      <c r="C1072" s="55">
        <v>1</v>
      </c>
      <c r="D1072" s="55">
        <v>1</v>
      </c>
      <c r="E1072" s="56">
        <v>8111</v>
      </c>
      <c r="F1072" s="95" t="s">
        <v>1288</v>
      </c>
      <c r="G1072" s="57" t="s">
        <v>529</v>
      </c>
      <c r="H1072" s="196" t="s">
        <v>529</v>
      </c>
      <c r="I1072" s="196" t="s">
        <v>529</v>
      </c>
      <c r="J1072" s="196" t="s">
        <v>529</v>
      </c>
    </row>
    <row r="1073" spans="1:10" ht="13.5" customHeight="1">
      <c r="A1073" s="59">
        <v>8</v>
      </c>
      <c r="B1073" s="92">
        <v>1</v>
      </c>
      <c r="C1073" s="59">
        <v>1</v>
      </c>
      <c r="D1073" s="59">
        <v>2</v>
      </c>
      <c r="E1073" s="60">
        <v>8112</v>
      </c>
      <c r="F1073" s="96" t="s">
        <v>1289</v>
      </c>
      <c r="G1073" s="61"/>
      <c r="H1073" s="197"/>
      <c r="I1073" s="197"/>
      <c r="J1073" s="197"/>
    </row>
    <row r="1074" spans="1:10" ht="13.5" customHeight="1">
      <c r="A1074" s="59">
        <v>8</v>
      </c>
      <c r="B1074" s="92">
        <v>1</v>
      </c>
      <c r="C1074" s="59">
        <v>1</v>
      </c>
      <c r="D1074" s="59">
        <v>3</v>
      </c>
      <c r="E1074" s="60">
        <v>8113</v>
      </c>
      <c r="F1074" s="96" t="s">
        <v>1290</v>
      </c>
      <c r="G1074" s="61"/>
      <c r="H1074" s="197"/>
      <c r="I1074" s="197"/>
      <c r="J1074" s="197"/>
    </row>
    <row r="1075" spans="1:10" ht="13.5" customHeight="1">
      <c r="A1075" s="59">
        <v>8</v>
      </c>
      <c r="B1075" s="92">
        <v>1</v>
      </c>
      <c r="C1075" s="59">
        <v>1</v>
      </c>
      <c r="D1075" s="59">
        <v>4</v>
      </c>
      <c r="E1075" s="60">
        <v>8114</v>
      </c>
      <c r="F1075" s="96" t="s">
        <v>1291</v>
      </c>
      <c r="G1075" s="61"/>
      <c r="H1075" s="197"/>
      <c r="I1075" s="197"/>
      <c r="J1075" s="197"/>
    </row>
    <row r="1076" spans="1:10" ht="13.5" customHeight="1">
      <c r="A1076" s="59">
        <v>8</v>
      </c>
      <c r="B1076" s="92">
        <v>1</v>
      </c>
      <c r="C1076" s="59">
        <v>1</v>
      </c>
      <c r="D1076" s="59">
        <v>5</v>
      </c>
      <c r="E1076" s="60">
        <v>8115</v>
      </c>
      <c r="F1076" s="96" t="s">
        <v>1292</v>
      </c>
      <c r="G1076" s="61"/>
      <c r="H1076" s="197"/>
      <c r="I1076" s="197"/>
      <c r="J1076" s="197"/>
    </row>
    <row r="1077" spans="1:10" ht="13.5" customHeight="1">
      <c r="A1077" s="59">
        <v>8</v>
      </c>
      <c r="B1077" s="92">
        <v>1</v>
      </c>
      <c r="C1077" s="59">
        <v>1</v>
      </c>
      <c r="D1077" s="59">
        <v>6</v>
      </c>
      <c r="E1077" s="60">
        <v>8116</v>
      </c>
      <c r="F1077" s="96" t="s">
        <v>1293</v>
      </c>
      <c r="G1077" s="61"/>
      <c r="H1077" s="197"/>
      <c r="I1077" s="197"/>
      <c r="J1077" s="197"/>
    </row>
    <row r="1078" spans="1:10" ht="13.5" customHeight="1">
      <c r="A1078" s="59">
        <v>8</v>
      </c>
      <c r="B1078" s="92">
        <v>1</v>
      </c>
      <c r="C1078" s="59">
        <v>1</v>
      </c>
      <c r="D1078" s="59">
        <v>8</v>
      </c>
      <c r="E1078" s="60">
        <v>8118</v>
      </c>
      <c r="F1078" s="96" t="s">
        <v>1294</v>
      </c>
      <c r="G1078" s="61"/>
      <c r="H1078" s="197"/>
      <c r="I1078" s="197"/>
      <c r="J1078" s="197"/>
    </row>
    <row r="1079" spans="1:10" ht="13.5" customHeight="1">
      <c r="A1079" s="63">
        <v>8</v>
      </c>
      <c r="B1079" s="93">
        <v>1</v>
      </c>
      <c r="C1079" s="63">
        <v>1</v>
      </c>
      <c r="D1079" s="63">
        <v>9</v>
      </c>
      <c r="E1079" s="64">
        <v>8119</v>
      </c>
      <c r="F1079" s="98" t="s">
        <v>992</v>
      </c>
      <c r="G1079" s="65"/>
      <c r="H1079" s="198"/>
      <c r="I1079" s="198"/>
      <c r="J1079" s="198"/>
    </row>
    <row r="1080" spans="1:10" ht="13.5" customHeight="1">
      <c r="A1080" s="52">
        <v>8</v>
      </c>
      <c r="B1080" s="89">
        <v>1</v>
      </c>
      <c r="C1080" s="52">
        <v>2</v>
      </c>
      <c r="D1080" s="52">
        <v>0</v>
      </c>
      <c r="E1080" s="52">
        <v>8120</v>
      </c>
      <c r="F1080" s="97" t="s">
        <v>1295</v>
      </c>
      <c r="G1080" s="53" t="s">
        <v>535</v>
      </c>
      <c r="H1080" s="54" t="s">
        <v>535</v>
      </c>
      <c r="I1080" s="54" t="s">
        <v>535</v>
      </c>
      <c r="J1080" s="54" t="s">
        <v>535</v>
      </c>
    </row>
    <row r="1081" spans="1:10" ht="13.5" customHeight="1">
      <c r="A1081" s="55">
        <v>8</v>
      </c>
      <c r="B1081" s="91">
        <v>1</v>
      </c>
      <c r="C1081" s="55">
        <v>2</v>
      </c>
      <c r="D1081" s="55">
        <v>1</v>
      </c>
      <c r="E1081" s="56">
        <v>8121</v>
      </c>
      <c r="F1081" s="95" t="s">
        <v>1296</v>
      </c>
      <c r="G1081" s="70"/>
      <c r="H1081" s="71"/>
      <c r="I1081" s="71"/>
      <c r="J1081" s="71"/>
    </row>
    <row r="1082" spans="1:10" ht="13.5" customHeight="1">
      <c r="A1082" s="59">
        <v>8</v>
      </c>
      <c r="B1082" s="93">
        <v>1</v>
      </c>
      <c r="C1082" s="59">
        <v>2</v>
      </c>
      <c r="D1082" s="59">
        <v>2</v>
      </c>
      <c r="E1082" s="60">
        <v>8122</v>
      </c>
      <c r="F1082" s="96" t="s">
        <v>1297</v>
      </c>
      <c r="G1082" s="72"/>
      <c r="H1082" s="73"/>
      <c r="I1082" s="73"/>
      <c r="J1082" s="73"/>
    </row>
    <row r="1083" spans="1:10" ht="13.5" customHeight="1">
      <c r="A1083" s="52">
        <v>8</v>
      </c>
      <c r="B1083" s="89">
        <v>1</v>
      </c>
      <c r="C1083" s="52">
        <v>3</v>
      </c>
      <c r="D1083" s="52">
        <v>0</v>
      </c>
      <c r="E1083" s="52">
        <v>8130</v>
      </c>
      <c r="F1083" s="97" t="s">
        <v>1298</v>
      </c>
      <c r="G1083" s="68"/>
      <c r="H1083" s="69"/>
      <c r="I1083" s="69"/>
      <c r="J1083" s="69"/>
    </row>
    <row r="1084" spans="1:10" ht="13.5" customHeight="1">
      <c r="A1084" s="55">
        <v>8</v>
      </c>
      <c r="B1084" s="91">
        <v>1</v>
      </c>
      <c r="C1084" s="55">
        <v>3</v>
      </c>
      <c r="D1084" s="55">
        <v>1</v>
      </c>
      <c r="E1084" s="56">
        <v>8131</v>
      </c>
      <c r="F1084" s="95" t="s">
        <v>1299</v>
      </c>
      <c r="G1084" s="70"/>
      <c r="H1084" s="71"/>
      <c r="I1084" s="71"/>
      <c r="J1084" s="71"/>
    </row>
    <row r="1085" spans="1:10" ht="13.5" customHeight="1">
      <c r="A1085" s="59">
        <v>8</v>
      </c>
      <c r="B1085" s="92">
        <v>1</v>
      </c>
      <c r="C1085" s="59">
        <v>3</v>
      </c>
      <c r="D1085" s="59">
        <v>2</v>
      </c>
      <c r="E1085" s="60">
        <v>8132</v>
      </c>
      <c r="F1085" s="96" t="s">
        <v>1300</v>
      </c>
      <c r="G1085" s="72"/>
      <c r="H1085" s="73"/>
      <c r="I1085" s="73"/>
      <c r="J1085" s="73"/>
    </row>
    <row r="1086" spans="1:10" ht="13.5" customHeight="1">
      <c r="A1086" s="59">
        <v>8</v>
      </c>
      <c r="B1086" s="92">
        <v>1</v>
      </c>
      <c r="C1086" s="59">
        <v>3</v>
      </c>
      <c r="D1086" s="59">
        <v>3</v>
      </c>
      <c r="E1086" s="60">
        <v>8133</v>
      </c>
      <c r="F1086" s="96" t="s">
        <v>1301</v>
      </c>
      <c r="G1086" s="72"/>
      <c r="H1086" s="73"/>
      <c r="I1086" s="73"/>
      <c r="J1086" s="73"/>
    </row>
    <row r="1087" spans="1:10" ht="13.5" customHeight="1">
      <c r="A1087" s="59">
        <v>8</v>
      </c>
      <c r="B1087" s="92">
        <v>1</v>
      </c>
      <c r="C1087" s="59">
        <v>3</v>
      </c>
      <c r="D1087" s="59">
        <v>4</v>
      </c>
      <c r="E1087" s="60">
        <v>8134</v>
      </c>
      <c r="F1087" s="96" t="s">
        <v>1302</v>
      </c>
      <c r="G1087" s="72"/>
      <c r="H1087" s="73"/>
      <c r="I1087" s="73"/>
      <c r="J1087" s="73"/>
    </row>
    <row r="1088" spans="1:10" ht="13.5" customHeight="1">
      <c r="A1088" s="59">
        <v>8</v>
      </c>
      <c r="B1088" s="92">
        <v>1</v>
      </c>
      <c r="C1088" s="59">
        <v>3</v>
      </c>
      <c r="D1088" s="59">
        <v>5</v>
      </c>
      <c r="E1088" s="60">
        <v>8135</v>
      </c>
      <c r="F1088" s="96" t="s">
        <v>1303</v>
      </c>
      <c r="G1088" s="72"/>
      <c r="H1088" s="73"/>
      <c r="I1088" s="73"/>
      <c r="J1088" s="73"/>
    </row>
    <row r="1089" spans="1:10" ht="13.5" customHeight="1">
      <c r="A1089" s="59">
        <v>8</v>
      </c>
      <c r="B1089" s="93">
        <v>1</v>
      </c>
      <c r="C1089" s="59">
        <v>3</v>
      </c>
      <c r="D1089" s="59">
        <v>6</v>
      </c>
      <c r="E1089" s="60">
        <v>8136</v>
      </c>
      <c r="F1089" s="96" t="s">
        <v>1304</v>
      </c>
      <c r="G1089" s="72"/>
      <c r="H1089" s="73"/>
      <c r="I1089" s="73"/>
      <c r="J1089" s="73"/>
    </row>
    <row r="1090" spans="1:10" ht="13.5" customHeight="1">
      <c r="A1090" s="52">
        <v>8</v>
      </c>
      <c r="B1090" s="89">
        <v>1</v>
      </c>
      <c r="C1090" s="52">
        <v>4</v>
      </c>
      <c r="D1090" s="52">
        <v>0</v>
      </c>
      <c r="E1090" s="52">
        <v>8140</v>
      </c>
      <c r="F1090" s="97" t="s">
        <v>1305</v>
      </c>
      <c r="G1090" s="68"/>
      <c r="H1090" s="69"/>
      <c r="I1090" s="69"/>
      <c r="J1090" s="69"/>
    </row>
    <row r="1091" spans="1:10" ht="13.5" customHeight="1">
      <c r="A1091" s="52">
        <v>8</v>
      </c>
      <c r="B1091" s="89">
        <v>1</v>
      </c>
      <c r="C1091" s="52">
        <v>5</v>
      </c>
      <c r="D1091" s="52">
        <v>0</v>
      </c>
      <c r="E1091" s="52">
        <v>8150</v>
      </c>
      <c r="F1091" s="97" t="s">
        <v>1306</v>
      </c>
      <c r="G1091" s="68"/>
      <c r="H1091" s="69"/>
      <c r="I1091" s="69"/>
      <c r="J1091" s="69"/>
    </row>
    <row r="1092" spans="1:10" ht="13.5" customHeight="1">
      <c r="A1092" s="52">
        <v>8</v>
      </c>
      <c r="B1092" s="89">
        <v>1</v>
      </c>
      <c r="C1092" s="52">
        <v>6</v>
      </c>
      <c r="D1092" s="52">
        <v>0</v>
      </c>
      <c r="E1092" s="52">
        <v>8160</v>
      </c>
      <c r="F1092" s="97" t="s">
        <v>1307</v>
      </c>
      <c r="G1092" s="68"/>
      <c r="H1092" s="69"/>
      <c r="I1092" s="69"/>
      <c r="J1092" s="69"/>
    </row>
    <row r="1093" spans="1:10" ht="13.5" customHeight="1">
      <c r="A1093" s="55">
        <v>8</v>
      </c>
      <c r="B1093" s="91">
        <v>1</v>
      </c>
      <c r="C1093" s="55">
        <v>6</v>
      </c>
      <c r="D1093" s="55">
        <v>1</v>
      </c>
      <c r="E1093" s="56">
        <v>8161</v>
      </c>
      <c r="F1093" s="95" t="s">
        <v>1308</v>
      </c>
      <c r="G1093" s="70"/>
      <c r="H1093" s="71"/>
      <c r="I1093" s="71"/>
      <c r="J1093" s="71"/>
    </row>
    <row r="1094" spans="1:10" ht="13.5" customHeight="1">
      <c r="A1094" s="59">
        <v>8</v>
      </c>
      <c r="B1094" s="92">
        <v>1</v>
      </c>
      <c r="C1094" s="59">
        <v>6</v>
      </c>
      <c r="D1094" s="59">
        <v>2</v>
      </c>
      <c r="E1094" s="60">
        <v>8162</v>
      </c>
      <c r="F1094" s="96" t="s">
        <v>1309</v>
      </c>
      <c r="G1094" s="72"/>
      <c r="H1094" s="73"/>
      <c r="I1094" s="73"/>
      <c r="J1094" s="73"/>
    </row>
    <row r="1095" spans="1:10" ht="13.5" customHeight="1">
      <c r="A1095" s="59">
        <v>8</v>
      </c>
      <c r="B1095" s="92">
        <v>1</v>
      </c>
      <c r="C1095" s="59">
        <v>6</v>
      </c>
      <c r="D1095" s="59">
        <v>3</v>
      </c>
      <c r="E1095" s="60">
        <v>8163</v>
      </c>
      <c r="F1095" s="96" t="s">
        <v>604</v>
      </c>
      <c r="G1095" s="72"/>
      <c r="H1095" s="73"/>
      <c r="I1095" s="73"/>
      <c r="J1095" s="73"/>
    </row>
    <row r="1096" spans="1:10" ht="13.5" customHeight="1">
      <c r="A1096" s="59">
        <v>8</v>
      </c>
      <c r="B1096" s="93">
        <v>1</v>
      </c>
      <c r="C1096" s="59">
        <v>6</v>
      </c>
      <c r="D1096" s="59">
        <v>4</v>
      </c>
      <c r="E1096" s="60">
        <v>8164</v>
      </c>
      <c r="F1096" s="96" t="s">
        <v>1310</v>
      </c>
      <c r="G1096" s="72"/>
      <c r="H1096" s="73"/>
      <c r="I1096" s="73"/>
      <c r="J1096" s="73"/>
    </row>
    <row r="1097" spans="1:10" ht="13.5" customHeight="1">
      <c r="A1097" s="52">
        <v>8</v>
      </c>
      <c r="B1097" s="89">
        <v>1</v>
      </c>
      <c r="C1097" s="52">
        <v>7</v>
      </c>
      <c r="D1097" s="52">
        <v>0</v>
      </c>
      <c r="E1097" s="52">
        <v>8170</v>
      </c>
      <c r="F1097" s="97" t="s">
        <v>1311</v>
      </c>
      <c r="G1097" s="53" t="s">
        <v>529</v>
      </c>
      <c r="H1097" s="54" t="s">
        <v>529</v>
      </c>
      <c r="I1097" s="54" t="s">
        <v>529</v>
      </c>
      <c r="J1097" s="54" t="s">
        <v>529</v>
      </c>
    </row>
    <row r="1098" spans="1:10" ht="13.5" customHeight="1">
      <c r="A1098" s="52">
        <v>8</v>
      </c>
      <c r="B1098" s="89">
        <v>1</v>
      </c>
      <c r="C1098" s="52">
        <v>8</v>
      </c>
      <c r="D1098" s="52">
        <v>0</v>
      </c>
      <c r="E1098" s="52">
        <v>8180</v>
      </c>
      <c r="F1098" s="97" t="s">
        <v>1312</v>
      </c>
      <c r="G1098" s="68"/>
      <c r="H1098" s="69"/>
      <c r="I1098" s="69"/>
      <c r="J1098" s="69"/>
    </row>
    <row r="1099" spans="1:10" ht="13.5" customHeight="1">
      <c r="A1099" s="55">
        <v>8</v>
      </c>
      <c r="B1099" s="91">
        <v>1</v>
      </c>
      <c r="C1099" s="55">
        <v>8</v>
      </c>
      <c r="D1099" s="55">
        <v>1</v>
      </c>
      <c r="E1099" s="56">
        <v>8181</v>
      </c>
      <c r="F1099" s="95" t="s">
        <v>1313</v>
      </c>
      <c r="G1099" s="70"/>
      <c r="H1099" s="71"/>
      <c r="I1099" s="71"/>
      <c r="J1099" s="71"/>
    </row>
    <row r="1100" spans="1:10" ht="13.5" customHeight="1">
      <c r="A1100" s="59">
        <v>8</v>
      </c>
      <c r="B1100" s="92">
        <v>1</v>
      </c>
      <c r="C1100" s="59">
        <v>8</v>
      </c>
      <c r="D1100" s="59">
        <v>2</v>
      </c>
      <c r="E1100" s="60">
        <v>8182</v>
      </c>
      <c r="F1100" s="96" t="s">
        <v>1314</v>
      </c>
      <c r="G1100" s="72"/>
      <c r="H1100" s="73"/>
      <c r="I1100" s="73"/>
      <c r="J1100" s="73"/>
    </row>
    <row r="1101" spans="1:10" ht="13.5" customHeight="1">
      <c r="A1101" s="59">
        <v>8</v>
      </c>
      <c r="B1101" s="92">
        <v>1</v>
      </c>
      <c r="C1101" s="59">
        <v>8</v>
      </c>
      <c r="D1101" s="59">
        <v>3</v>
      </c>
      <c r="E1101" s="60">
        <v>8183</v>
      </c>
      <c r="F1101" s="96" t="s">
        <v>1315</v>
      </c>
      <c r="G1101" s="72"/>
      <c r="H1101" s="73"/>
      <c r="I1101" s="73"/>
      <c r="J1101" s="73"/>
    </row>
    <row r="1102" spans="1:10" ht="13.5" customHeight="1">
      <c r="A1102" s="59">
        <v>8</v>
      </c>
      <c r="B1102" s="92">
        <v>1</v>
      </c>
      <c r="C1102" s="59">
        <v>8</v>
      </c>
      <c r="D1102" s="59">
        <v>4</v>
      </c>
      <c r="E1102" s="60">
        <v>8184</v>
      </c>
      <c r="F1102" s="96" t="s">
        <v>1316</v>
      </c>
      <c r="G1102" s="72"/>
      <c r="H1102" s="73"/>
      <c r="I1102" s="73"/>
      <c r="J1102" s="73"/>
    </row>
    <row r="1103" spans="1:10" ht="13.5" customHeight="1">
      <c r="A1103" s="59">
        <v>8</v>
      </c>
      <c r="B1103" s="93">
        <v>1</v>
      </c>
      <c r="C1103" s="59">
        <v>8</v>
      </c>
      <c r="D1103" s="59">
        <v>5</v>
      </c>
      <c r="E1103" s="60">
        <v>8185</v>
      </c>
      <c r="F1103" s="96" t="s">
        <v>1317</v>
      </c>
      <c r="G1103" s="72"/>
      <c r="H1103" s="73"/>
      <c r="I1103" s="73"/>
      <c r="J1103" s="73"/>
    </row>
    <row r="1104" spans="1:10" ht="13.5" customHeight="1">
      <c r="A1104" s="52">
        <v>8</v>
      </c>
      <c r="B1104" s="89">
        <v>8</v>
      </c>
      <c r="C1104" s="52">
        <v>1</v>
      </c>
      <c r="D1104" s="52">
        <v>0</v>
      </c>
      <c r="E1104" s="52">
        <v>8810</v>
      </c>
      <c r="F1104" s="97" t="s">
        <v>1318</v>
      </c>
      <c r="G1104" s="68"/>
      <c r="H1104" s="69"/>
      <c r="I1104" s="69"/>
      <c r="J1104" s="69"/>
    </row>
    <row r="1105" spans="1:10" ht="13.5" customHeight="1">
      <c r="A1105" s="46">
        <v>8</v>
      </c>
      <c r="B1105" s="90">
        <v>9</v>
      </c>
      <c r="C1105" s="46">
        <v>0</v>
      </c>
      <c r="D1105" s="46">
        <v>0</v>
      </c>
      <c r="E1105" s="46">
        <v>8900</v>
      </c>
      <c r="F1105" s="99" t="s">
        <v>1319</v>
      </c>
      <c r="G1105" s="50"/>
      <c r="H1105" s="51"/>
      <c r="I1105" s="51"/>
      <c r="J1105" s="51"/>
    </row>
    <row r="1106" spans="1:10" ht="13.5" customHeight="1">
      <c r="A1106" s="52">
        <v>8</v>
      </c>
      <c r="B1106" s="89">
        <v>9</v>
      </c>
      <c r="C1106" s="52">
        <v>1</v>
      </c>
      <c r="D1106" s="52">
        <v>0</v>
      </c>
      <c r="E1106" s="52">
        <v>8910</v>
      </c>
      <c r="F1106" s="97" t="s">
        <v>1320</v>
      </c>
      <c r="G1106" s="68"/>
      <c r="H1106" s="69"/>
      <c r="I1106" s="69"/>
      <c r="J1106" s="69"/>
    </row>
    <row r="1107" spans="1:10" ht="13.5" customHeight="1">
      <c r="A1107" s="52">
        <v>8</v>
      </c>
      <c r="B1107" s="89">
        <v>9</v>
      </c>
      <c r="C1107" s="52">
        <v>2</v>
      </c>
      <c r="D1107" s="52">
        <v>0</v>
      </c>
      <c r="E1107" s="52">
        <v>8920</v>
      </c>
      <c r="F1107" s="97" t="s">
        <v>1321</v>
      </c>
      <c r="G1107" s="68"/>
      <c r="H1107" s="69"/>
      <c r="I1107" s="69"/>
      <c r="J1107" s="69"/>
    </row>
    <row r="1108" spans="1:10" ht="13.5" customHeight="1">
      <c r="A1108" s="52">
        <v>8</v>
      </c>
      <c r="B1108" s="89">
        <v>9</v>
      </c>
      <c r="C1108" s="52">
        <v>3</v>
      </c>
      <c r="D1108" s="52">
        <v>0</v>
      </c>
      <c r="E1108" s="52">
        <v>8930</v>
      </c>
      <c r="F1108" s="97" t="s">
        <v>1322</v>
      </c>
      <c r="G1108" s="68"/>
      <c r="H1108" s="69"/>
      <c r="I1108" s="69"/>
      <c r="J1108" s="69"/>
    </row>
    <row r="1109" spans="1:10" ht="13.5" customHeight="1">
      <c r="A1109" s="42">
        <v>9</v>
      </c>
      <c r="B1109" s="88">
        <v>0</v>
      </c>
      <c r="C1109" s="42">
        <v>0</v>
      </c>
      <c r="D1109" s="42">
        <v>0</v>
      </c>
      <c r="E1109" s="42">
        <v>9000</v>
      </c>
      <c r="F1109" s="100" t="s">
        <v>1323</v>
      </c>
      <c r="G1109" s="84"/>
      <c r="H1109" s="85"/>
      <c r="I1109" s="85"/>
      <c r="J1109" s="85"/>
    </row>
    <row r="1110" spans="1:10" ht="13.5" customHeight="1">
      <c r="A1110" s="46">
        <v>9</v>
      </c>
      <c r="B1110" s="90">
        <v>1</v>
      </c>
      <c r="C1110" s="46">
        <v>0</v>
      </c>
      <c r="D1110" s="46">
        <v>0</v>
      </c>
      <c r="E1110" s="46">
        <v>9100</v>
      </c>
      <c r="F1110" s="99" t="s">
        <v>1324</v>
      </c>
      <c r="G1110" s="50"/>
      <c r="H1110" s="51"/>
      <c r="I1110" s="51"/>
      <c r="J1110" s="51"/>
    </row>
    <row r="1111" spans="1:10" ht="13.5" customHeight="1">
      <c r="A1111" s="52">
        <v>9</v>
      </c>
      <c r="B1111" s="89">
        <v>1</v>
      </c>
      <c r="C1111" s="52">
        <v>1</v>
      </c>
      <c r="D1111" s="52">
        <v>0</v>
      </c>
      <c r="E1111" s="52">
        <v>9110</v>
      </c>
      <c r="F1111" s="97" t="s">
        <v>1325</v>
      </c>
      <c r="G1111" s="53" t="s">
        <v>529</v>
      </c>
      <c r="H1111" s="54" t="s">
        <v>529</v>
      </c>
      <c r="I1111" s="54" t="s">
        <v>529</v>
      </c>
      <c r="J1111" s="54" t="s">
        <v>529</v>
      </c>
    </row>
    <row r="1112" spans="1:10" ht="13.5" customHeight="1">
      <c r="A1112" s="55">
        <v>9</v>
      </c>
      <c r="B1112" s="91">
        <v>1</v>
      </c>
      <c r="C1112" s="55">
        <v>1</v>
      </c>
      <c r="D1112" s="55">
        <v>1</v>
      </c>
      <c r="E1112" s="56">
        <v>9111</v>
      </c>
      <c r="F1112" s="95" t="s">
        <v>1326</v>
      </c>
      <c r="G1112" s="57" t="s">
        <v>529</v>
      </c>
      <c r="H1112" s="58" t="s">
        <v>529</v>
      </c>
      <c r="I1112" s="58" t="s">
        <v>529</v>
      </c>
      <c r="J1112" s="58" t="s">
        <v>529</v>
      </c>
    </row>
    <row r="1113" spans="1:10" ht="13.5" customHeight="1">
      <c r="A1113" s="59">
        <v>9</v>
      </c>
      <c r="B1113" s="92">
        <v>1</v>
      </c>
      <c r="C1113" s="59">
        <v>1</v>
      </c>
      <c r="D1113" s="59">
        <v>2</v>
      </c>
      <c r="E1113" s="60">
        <v>9112</v>
      </c>
      <c r="F1113" s="96" t="s">
        <v>1327</v>
      </c>
      <c r="G1113" s="61" t="s">
        <v>529</v>
      </c>
      <c r="H1113" s="62" t="s">
        <v>529</v>
      </c>
      <c r="I1113" s="62" t="s">
        <v>529</v>
      </c>
      <c r="J1113" s="62" t="s">
        <v>529</v>
      </c>
    </row>
    <row r="1114" spans="1:10" ht="13.5" customHeight="1">
      <c r="A1114" s="59">
        <v>9</v>
      </c>
      <c r="B1114" s="92">
        <v>1</v>
      </c>
      <c r="C1114" s="59">
        <v>1</v>
      </c>
      <c r="D1114" s="59">
        <v>6</v>
      </c>
      <c r="E1114" s="60">
        <v>9116</v>
      </c>
      <c r="F1114" s="96" t="s">
        <v>1328</v>
      </c>
      <c r="G1114" s="61" t="s">
        <v>529</v>
      </c>
      <c r="H1114" s="62" t="s">
        <v>529</v>
      </c>
      <c r="I1114" s="62" t="s">
        <v>529</v>
      </c>
      <c r="J1114" s="62" t="s">
        <v>529</v>
      </c>
    </row>
    <row r="1115" spans="1:10" ht="13.5" customHeight="1">
      <c r="A1115" s="63">
        <v>9</v>
      </c>
      <c r="B1115" s="93">
        <v>1</v>
      </c>
      <c r="C1115" s="63">
        <v>1</v>
      </c>
      <c r="D1115" s="63">
        <v>9</v>
      </c>
      <c r="E1115" s="64">
        <v>9119</v>
      </c>
      <c r="F1115" s="98" t="s">
        <v>1329</v>
      </c>
      <c r="G1115" s="65" t="s">
        <v>529</v>
      </c>
      <c r="H1115" s="66" t="s">
        <v>529</v>
      </c>
      <c r="I1115" s="66" t="s">
        <v>529</v>
      </c>
      <c r="J1115" s="66" t="s">
        <v>529</v>
      </c>
    </row>
    <row r="1116" spans="1:10" ht="13.5" customHeight="1">
      <c r="A1116" s="52">
        <v>9</v>
      </c>
      <c r="B1116" s="89">
        <v>1</v>
      </c>
      <c r="C1116" s="52">
        <v>2</v>
      </c>
      <c r="D1116" s="52">
        <v>0</v>
      </c>
      <c r="E1116" s="52">
        <v>9120</v>
      </c>
      <c r="F1116" s="97" t="s">
        <v>1330</v>
      </c>
      <c r="G1116" s="68"/>
      <c r="H1116" s="69"/>
      <c r="I1116" s="69"/>
      <c r="J1116" s="69"/>
    </row>
    <row r="1117" spans="1:10" ht="13.5" customHeight="1">
      <c r="A1117" s="55">
        <v>9</v>
      </c>
      <c r="B1117" s="91">
        <v>1</v>
      </c>
      <c r="C1117" s="55">
        <v>2</v>
      </c>
      <c r="D1117" s="55">
        <v>1</v>
      </c>
      <c r="E1117" s="56">
        <v>9121</v>
      </c>
      <c r="F1117" s="95" t="s">
        <v>1331</v>
      </c>
      <c r="G1117" s="70"/>
      <c r="H1117" s="71"/>
      <c r="I1117" s="71"/>
      <c r="J1117" s="71"/>
    </row>
    <row r="1118" spans="1:10" ht="13.5" customHeight="1">
      <c r="A1118" s="59">
        <v>9</v>
      </c>
      <c r="B1118" s="92">
        <v>1</v>
      </c>
      <c r="C1118" s="59">
        <v>2</v>
      </c>
      <c r="D1118" s="59">
        <v>2</v>
      </c>
      <c r="E1118" s="60">
        <v>9122</v>
      </c>
      <c r="F1118" s="96" t="s">
        <v>1332</v>
      </c>
      <c r="G1118" s="72"/>
      <c r="H1118" s="73"/>
      <c r="I1118" s="73"/>
      <c r="J1118" s="73"/>
    </row>
    <row r="1119" spans="1:10" ht="13.5" customHeight="1">
      <c r="A1119" s="59">
        <v>9</v>
      </c>
      <c r="B1119" s="92">
        <v>1</v>
      </c>
      <c r="C1119" s="59">
        <v>2</v>
      </c>
      <c r="D1119" s="59">
        <v>3</v>
      </c>
      <c r="E1119" s="60">
        <v>9123</v>
      </c>
      <c r="F1119" s="96" t="s">
        <v>1333</v>
      </c>
      <c r="G1119" s="72"/>
      <c r="H1119" s="73"/>
      <c r="I1119" s="73"/>
      <c r="J1119" s="73"/>
    </row>
    <row r="1120" spans="1:10" ht="13.5" customHeight="1">
      <c r="A1120" s="59">
        <v>9</v>
      </c>
      <c r="B1120" s="92">
        <v>1</v>
      </c>
      <c r="C1120" s="59">
        <v>2</v>
      </c>
      <c r="D1120" s="59">
        <v>4</v>
      </c>
      <c r="E1120" s="60">
        <v>9124</v>
      </c>
      <c r="F1120" s="96" t="s">
        <v>1134</v>
      </c>
      <c r="G1120" s="72"/>
      <c r="H1120" s="73"/>
      <c r="I1120" s="73"/>
      <c r="J1120" s="73"/>
    </row>
    <row r="1121" spans="1:10" ht="13.5" customHeight="1">
      <c r="A1121" s="59">
        <v>9</v>
      </c>
      <c r="B1121" s="92">
        <v>1</v>
      </c>
      <c r="C1121" s="59">
        <v>2</v>
      </c>
      <c r="D1121" s="59">
        <v>5</v>
      </c>
      <c r="E1121" s="60">
        <v>9125</v>
      </c>
      <c r="F1121" s="96" t="s">
        <v>1334</v>
      </c>
      <c r="G1121" s="72"/>
      <c r="H1121" s="73"/>
      <c r="I1121" s="73"/>
      <c r="J1121" s="73"/>
    </row>
    <row r="1122" spans="1:10" ht="13.5" customHeight="1">
      <c r="A1122" s="59">
        <v>9</v>
      </c>
      <c r="B1122" s="92">
        <v>1</v>
      </c>
      <c r="C1122" s="59">
        <v>2</v>
      </c>
      <c r="D1122" s="59">
        <v>6</v>
      </c>
      <c r="E1122" s="60">
        <v>9126</v>
      </c>
      <c r="F1122" s="96" t="s">
        <v>1335</v>
      </c>
      <c r="G1122" s="72"/>
      <c r="H1122" s="73"/>
      <c r="I1122" s="73"/>
      <c r="J1122" s="73"/>
    </row>
    <row r="1123" spans="1:10" ht="13.5" customHeight="1">
      <c r="A1123" s="59">
        <v>9</v>
      </c>
      <c r="B1123" s="93">
        <v>1</v>
      </c>
      <c r="C1123" s="59">
        <v>2</v>
      </c>
      <c r="D1123" s="59">
        <v>7</v>
      </c>
      <c r="E1123" s="60">
        <v>9127</v>
      </c>
      <c r="F1123" s="96" t="s">
        <v>1336</v>
      </c>
      <c r="G1123" s="72"/>
      <c r="H1123" s="73"/>
      <c r="I1123" s="73"/>
      <c r="J1123" s="73"/>
    </row>
    <row r="1124" spans="1:10" ht="13.5" customHeight="1">
      <c r="A1124" s="52">
        <v>9</v>
      </c>
      <c r="B1124" s="89">
        <v>1</v>
      </c>
      <c r="C1124" s="52">
        <v>3</v>
      </c>
      <c r="D1124" s="52">
        <v>0</v>
      </c>
      <c r="E1124" s="52">
        <v>9130</v>
      </c>
      <c r="F1124" s="97" t="s">
        <v>1337</v>
      </c>
      <c r="G1124" s="68"/>
      <c r="H1124" s="69"/>
      <c r="I1124" s="69"/>
      <c r="J1124" s="69"/>
    </row>
    <row r="1125" spans="1:10" ht="13.5" customHeight="1">
      <c r="A1125" s="55">
        <v>9</v>
      </c>
      <c r="B1125" s="91">
        <v>1</v>
      </c>
      <c r="C1125" s="55">
        <v>3</v>
      </c>
      <c r="D1125" s="55">
        <v>1</v>
      </c>
      <c r="E1125" s="56">
        <v>9131</v>
      </c>
      <c r="F1125" s="95" t="s">
        <v>1338</v>
      </c>
      <c r="G1125" s="70"/>
      <c r="H1125" s="193"/>
      <c r="I1125" s="193"/>
      <c r="J1125" s="193"/>
    </row>
    <row r="1126" spans="1:10" ht="13.5" customHeight="1">
      <c r="A1126" s="59">
        <v>9</v>
      </c>
      <c r="B1126" s="92">
        <v>1</v>
      </c>
      <c r="C1126" s="59">
        <v>3</v>
      </c>
      <c r="D1126" s="59">
        <v>2</v>
      </c>
      <c r="E1126" s="60">
        <v>9132</v>
      </c>
      <c r="F1126" s="96" t="s">
        <v>1339</v>
      </c>
      <c r="G1126" s="72"/>
      <c r="H1126" s="194"/>
      <c r="I1126" s="194"/>
      <c r="J1126" s="194"/>
    </row>
    <row r="1127" spans="1:10" ht="13.5" customHeight="1">
      <c r="A1127" s="59">
        <v>9</v>
      </c>
      <c r="B1127" s="92">
        <v>1</v>
      </c>
      <c r="C1127" s="59">
        <v>3</v>
      </c>
      <c r="D1127" s="59">
        <v>3</v>
      </c>
      <c r="E1127" s="60">
        <v>9133</v>
      </c>
      <c r="F1127" s="96" t="s">
        <v>1340</v>
      </c>
      <c r="G1127" s="72"/>
      <c r="H1127" s="194"/>
      <c r="I1127" s="194"/>
      <c r="J1127" s="194"/>
    </row>
    <row r="1128" spans="1:10" ht="13.5" customHeight="1">
      <c r="A1128" s="59">
        <v>9</v>
      </c>
      <c r="B1128" s="92">
        <v>1</v>
      </c>
      <c r="C1128" s="59">
        <v>3</v>
      </c>
      <c r="D1128" s="59">
        <v>4</v>
      </c>
      <c r="E1128" s="77">
        <v>9134</v>
      </c>
      <c r="F1128" s="96" t="s">
        <v>1341</v>
      </c>
      <c r="G1128" s="72"/>
      <c r="H1128" s="194"/>
      <c r="I1128" s="194"/>
      <c r="J1128" s="194"/>
    </row>
    <row r="1129" spans="1:10" ht="13.5" customHeight="1">
      <c r="A1129" s="59">
        <v>9</v>
      </c>
      <c r="B1129" s="92">
        <v>1</v>
      </c>
      <c r="C1129" s="59">
        <v>3</v>
      </c>
      <c r="D1129" s="59">
        <v>5</v>
      </c>
      <c r="E1129" s="60">
        <v>9135</v>
      </c>
      <c r="F1129" s="96" t="s">
        <v>1342</v>
      </c>
      <c r="G1129" s="72"/>
      <c r="H1129" s="194"/>
      <c r="I1129" s="194"/>
      <c r="J1129" s="194"/>
    </row>
    <row r="1130" spans="1:10" ht="13.5" customHeight="1">
      <c r="A1130" s="59">
        <v>9</v>
      </c>
      <c r="B1130" s="92">
        <v>1</v>
      </c>
      <c r="C1130" s="59">
        <v>3</v>
      </c>
      <c r="D1130" s="59">
        <v>6</v>
      </c>
      <c r="E1130" s="60">
        <v>9136</v>
      </c>
      <c r="F1130" s="96" t="s">
        <v>1343</v>
      </c>
      <c r="G1130" s="72"/>
      <c r="H1130" s="194"/>
      <c r="I1130" s="194"/>
      <c r="J1130" s="194"/>
    </row>
    <row r="1131" spans="1:10" ht="13.5" customHeight="1">
      <c r="A1131" s="59">
        <v>9</v>
      </c>
      <c r="B1131" s="92">
        <v>1</v>
      </c>
      <c r="C1131" s="59">
        <v>3</v>
      </c>
      <c r="D1131" s="59">
        <v>7</v>
      </c>
      <c r="E1131" s="60">
        <v>9137</v>
      </c>
      <c r="F1131" s="96" t="s">
        <v>1344</v>
      </c>
      <c r="G1131" s="72"/>
      <c r="H1131" s="194"/>
      <c r="I1131" s="194"/>
      <c r="J1131" s="194"/>
    </row>
    <row r="1132" spans="1:10" ht="13.5" customHeight="1">
      <c r="A1132" s="59">
        <v>9</v>
      </c>
      <c r="B1132" s="92">
        <v>1</v>
      </c>
      <c r="C1132" s="59">
        <v>3</v>
      </c>
      <c r="D1132" s="59">
        <v>8</v>
      </c>
      <c r="E1132" s="60">
        <v>9138</v>
      </c>
      <c r="F1132" s="96" t="s">
        <v>1345</v>
      </c>
      <c r="G1132" s="72"/>
      <c r="H1132" s="194"/>
      <c r="I1132" s="194"/>
      <c r="J1132" s="194"/>
    </row>
    <row r="1133" spans="1:10" ht="13.5" customHeight="1">
      <c r="A1133" s="63">
        <v>9</v>
      </c>
      <c r="B1133" s="93">
        <v>1</v>
      </c>
      <c r="C1133" s="63">
        <v>3</v>
      </c>
      <c r="D1133" s="63">
        <v>9</v>
      </c>
      <c r="E1133" s="86">
        <v>9139</v>
      </c>
      <c r="F1133" s="98" t="s">
        <v>1346</v>
      </c>
      <c r="G1133" s="74"/>
      <c r="H1133" s="195"/>
      <c r="I1133" s="195"/>
      <c r="J1133" s="195"/>
    </row>
    <row r="1134" spans="1:10" ht="13.5" customHeight="1">
      <c r="A1134" s="52">
        <v>9</v>
      </c>
      <c r="B1134" s="89">
        <v>1</v>
      </c>
      <c r="C1134" s="52">
        <v>4</v>
      </c>
      <c r="D1134" s="52">
        <v>0</v>
      </c>
      <c r="E1134" s="52">
        <v>9140</v>
      </c>
      <c r="F1134" s="97" t="s">
        <v>1347</v>
      </c>
      <c r="G1134" s="68"/>
      <c r="H1134" s="69"/>
      <c r="I1134" s="69"/>
      <c r="J1134" s="69"/>
    </row>
    <row r="1135" spans="1:10" ht="13.5" customHeight="1">
      <c r="A1135" s="55">
        <v>9</v>
      </c>
      <c r="B1135" s="91">
        <v>1</v>
      </c>
      <c r="C1135" s="55">
        <v>4</v>
      </c>
      <c r="D1135" s="55">
        <v>1</v>
      </c>
      <c r="E1135" s="56">
        <v>9141</v>
      </c>
      <c r="F1135" s="95" t="s">
        <v>1348</v>
      </c>
      <c r="G1135" s="87"/>
      <c r="H1135" s="71"/>
      <c r="I1135" s="71"/>
      <c r="J1135" s="71"/>
    </row>
    <row r="1136" spans="1:10" ht="13.5" customHeight="1">
      <c r="A1136" s="59">
        <v>9</v>
      </c>
      <c r="B1136" s="92">
        <v>1</v>
      </c>
      <c r="C1136" s="59">
        <v>4</v>
      </c>
      <c r="D1136" s="59">
        <v>2</v>
      </c>
      <c r="E1136" s="60">
        <v>9142</v>
      </c>
      <c r="F1136" s="96" t="s">
        <v>1349</v>
      </c>
      <c r="G1136" s="72"/>
      <c r="H1136" s="73"/>
      <c r="I1136" s="73"/>
      <c r="J1136" s="73"/>
    </row>
    <row r="1137" spans="1:10" ht="13.5" customHeight="1">
      <c r="A1137" s="59">
        <v>9</v>
      </c>
      <c r="B1137" s="92">
        <v>1</v>
      </c>
      <c r="C1137" s="59">
        <v>4</v>
      </c>
      <c r="D1137" s="59">
        <v>3</v>
      </c>
      <c r="E1137" s="60">
        <v>9143</v>
      </c>
      <c r="F1137" s="96" t="s">
        <v>990</v>
      </c>
      <c r="G1137" s="72"/>
      <c r="H1137" s="73"/>
      <c r="I1137" s="73"/>
      <c r="J1137" s="73"/>
    </row>
    <row r="1138" spans="1:10" ht="13.5" customHeight="1">
      <c r="A1138" s="59">
        <v>9</v>
      </c>
      <c r="B1138" s="93">
        <v>1</v>
      </c>
      <c r="C1138" s="59">
        <v>4</v>
      </c>
      <c r="D1138" s="59">
        <v>4</v>
      </c>
      <c r="E1138" s="60">
        <v>9144</v>
      </c>
      <c r="F1138" s="96" t="s">
        <v>1350</v>
      </c>
      <c r="G1138" s="72"/>
      <c r="H1138" s="73"/>
      <c r="I1138" s="73"/>
      <c r="J1138" s="73"/>
    </row>
    <row r="1139" spans="1:10" ht="13.5" customHeight="1">
      <c r="A1139" s="52">
        <v>9</v>
      </c>
      <c r="B1139" s="89">
        <v>1</v>
      </c>
      <c r="C1139" s="52">
        <v>5</v>
      </c>
      <c r="D1139" s="52">
        <v>0</v>
      </c>
      <c r="E1139" s="52">
        <v>9150</v>
      </c>
      <c r="F1139" s="97" t="s">
        <v>1351</v>
      </c>
      <c r="G1139" s="68"/>
      <c r="H1139" s="69"/>
      <c r="I1139" s="69"/>
      <c r="J1139" s="69"/>
    </row>
    <row r="1140" spans="1:10" ht="13.5" customHeight="1">
      <c r="A1140" s="55">
        <v>9</v>
      </c>
      <c r="B1140" s="91">
        <v>1</v>
      </c>
      <c r="C1140" s="55">
        <v>5</v>
      </c>
      <c r="D1140" s="55">
        <v>1</v>
      </c>
      <c r="E1140" s="56">
        <v>9151</v>
      </c>
      <c r="F1140" s="95" t="s">
        <v>1352</v>
      </c>
      <c r="G1140" s="70"/>
      <c r="H1140" s="71"/>
      <c r="I1140" s="71"/>
      <c r="J1140" s="71"/>
    </row>
    <row r="1141" spans="1:10" ht="13.5" customHeight="1">
      <c r="A1141" s="59">
        <v>9</v>
      </c>
      <c r="B1141" s="92">
        <v>1</v>
      </c>
      <c r="C1141" s="59">
        <v>5</v>
      </c>
      <c r="D1141" s="59">
        <v>2</v>
      </c>
      <c r="E1141" s="60">
        <v>9152</v>
      </c>
      <c r="F1141" s="96" t="s">
        <v>1310</v>
      </c>
      <c r="G1141" s="72"/>
      <c r="H1141" s="73"/>
      <c r="I1141" s="73"/>
      <c r="J1141" s="73"/>
    </row>
    <row r="1142" spans="1:10" ht="13.5" customHeight="1">
      <c r="A1142" s="59">
        <v>9</v>
      </c>
      <c r="B1142" s="93">
        <v>1</v>
      </c>
      <c r="C1142" s="59">
        <v>5</v>
      </c>
      <c r="D1142" s="59">
        <v>3</v>
      </c>
      <c r="E1142" s="60">
        <v>9153</v>
      </c>
      <c r="F1142" s="96" t="s">
        <v>1353</v>
      </c>
      <c r="G1142" s="72"/>
      <c r="H1142" s="73"/>
      <c r="I1142" s="73"/>
      <c r="J1142" s="73"/>
    </row>
    <row r="1143" spans="1:10" ht="13.5" customHeight="1">
      <c r="A1143" s="52">
        <v>9</v>
      </c>
      <c r="B1143" s="89">
        <v>1</v>
      </c>
      <c r="C1143" s="52">
        <v>6</v>
      </c>
      <c r="D1143" s="52">
        <v>0</v>
      </c>
      <c r="E1143" s="52">
        <v>9160</v>
      </c>
      <c r="F1143" s="97" t="s">
        <v>1354</v>
      </c>
      <c r="G1143" s="68"/>
      <c r="H1143" s="69"/>
      <c r="I1143" s="69"/>
      <c r="J1143" s="69"/>
    </row>
    <row r="1144" spans="1:10" ht="13.5" customHeight="1">
      <c r="A1144" s="55">
        <v>9</v>
      </c>
      <c r="B1144" s="91">
        <v>1</v>
      </c>
      <c r="C1144" s="55">
        <v>6</v>
      </c>
      <c r="D1144" s="55">
        <v>1</v>
      </c>
      <c r="E1144" s="56">
        <v>9161</v>
      </c>
      <c r="F1144" s="95" t="s">
        <v>1355</v>
      </c>
      <c r="G1144" s="70"/>
      <c r="H1144" s="71"/>
      <c r="I1144" s="71"/>
      <c r="J1144" s="71"/>
    </row>
    <row r="1145" spans="1:10" ht="13.5" customHeight="1">
      <c r="A1145" s="59">
        <v>9</v>
      </c>
      <c r="B1145" s="93">
        <v>1</v>
      </c>
      <c r="C1145" s="59">
        <v>6</v>
      </c>
      <c r="D1145" s="59">
        <v>2</v>
      </c>
      <c r="E1145" s="60">
        <v>9162</v>
      </c>
      <c r="F1145" s="96" t="s">
        <v>1356</v>
      </c>
      <c r="G1145" s="72"/>
      <c r="H1145" s="73"/>
      <c r="I1145" s="73"/>
      <c r="J1145" s="73"/>
    </row>
    <row r="1146" spans="1:10" ht="13.5" customHeight="1">
      <c r="A1146" s="52">
        <v>9</v>
      </c>
      <c r="B1146" s="89">
        <v>1</v>
      </c>
      <c r="C1146" s="52">
        <v>7</v>
      </c>
      <c r="D1146" s="52">
        <v>0</v>
      </c>
      <c r="E1146" s="52">
        <v>9170</v>
      </c>
      <c r="F1146" s="97" t="s">
        <v>1357</v>
      </c>
      <c r="G1146" s="68"/>
      <c r="H1146" s="69"/>
      <c r="I1146" s="69"/>
      <c r="J1146" s="69"/>
    </row>
    <row r="1147" spans="1:10" ht="13.5" customHeight="1">
      <c r="A1147" s="55">
        <v>9</v>
      </c>
      <c r="B1147" s="91">
        <v>1</v>
      </c>
      <c r="C1147" s="55">
        <v>7</v>
      </c>
      <c r="D1147" s="55">
        <v>1</v>
      </c>
      <c r="E1147" s="56">
        <v>9171</v>
      </c>
      <c r="F1147" s="95" t="s">
        <v>1358</v>
      </c>
      <c r="G1147" s="70"/>
      <c r="H1147" s="71"/>
      <c r="I1147" s="71"/>
      <c r="J1147" s="71"/>
    </row>
    <row r="1148" spans="1:10" ht="13.5" customHeight="1">
      <c r="A1148" s="59">
        <v>9</v>
      </c>
      <c r="B1148" s="92">
        <v>1</v>
      </c>
      <c r="C1148" s="59">
        <v>7</v>
      </c>
      <c r="D1148" s="59">
        <v>2</v>
      </c>
      <c r="E1148" s="60">
        <v>9172</v>
      </c>
      <c r="F1148" s="96" t="s">
        <v>1359</v>
      </c>
      <c r="G1148" s="72"/>
      <c r="H1148" s="73"/>
      <c r="I1148" s="73"/>
      <c r="J1148" s="73"/>
    </row>
    <row r="1149" spans="1:10" ht="13.5" customHeight="1">
      <c r="A1149" s="59">
        <v>9</v>
      </c>
      <c r="B1149" s="92">
        <v>1</v>
      </c>
      <c r="C1149" s="59">
        <v>7</v>
      </c>
      <c r="D1149" s="59">
        <v>3</v>
      </c>
      <c r="E1149" s="60">
        <v>9173</v>
      </c>
      <c r="F1149" s="96" t="s">
        <v>1360</v>
      </c>
      <c r="G1149" s="72"/>
      <c r="H1149" s="73"/>
      <c r="I1149" s="73"/>
      <c r="J1149" s="73"/>
    </row>
    <row r="1150" spans="1:10" ht="13.5" customHeight="1">
      <c r="A1150" s="59">
        <v>9</v>
      </c>
      <c r="B1150" s="92">
        <v>1</v>
      </c>
      <c r="C1150" s="59">
        <v>7</v>
      </c>
      <c r="D1150" s="59">
        <v>4</v>
      </c>
      <c r="E1150" s="60">
        <v>9174</v>
      </c>
      <c r="F1150" s="96" t="s">
        <v>1361</v>
      </c>
      <c r="G1150" s="72"/>
      <c r="H1150" s="73"/>
      <c r="I1150" s="73"/>
      <c r="J1150" s="73"/>
    </row>
    <row r="1151" spans="1:10" ht="13.5" customHeight="1">
      <c r="A1151" s="59">
        <v>9</v>
      </c>
      <c r="B1151" s="92">
        <v>1</v>
      </c>
      <c r="C1151" s="59">
        <v>7</v>
      </c>
      <c r="D1151" s="59">
        <v>5</v>
      </c>
      <c r="E1151" s="60">
        <v>9175</v>
      </c>
      <c r="F1151" s="96" t="s">
        <v>1362</v>
      </c>
      <c r="G1151" s="72"/>
      <c r="H1151" s="73"/>
      <c r="I1151" s="73"/>
      <c r="J1151" s="73"/>
    </row>
    <row r="1152" spans="1:10" ht="13.5" customHeight="1">
      <c r="A1152" s="59">
        <v>9</v>
      </c>
      <c r="B1152" s="92">
        <v>1</v>
      </c>
      <c r="C1152" s="59">
        <v>7</v>
      </c>
      <c r="D1152" s="59">
        <v>6</v>
      </c>
      <c r="E1152" s="60">
        <v>9176</v>
      </c>
      <c r="F1152" s="96" t="s">
        <v>1363</v>
      </c>
      <c r="G1152" s="72"/>
      <c r="H1152" s="73"/>
      <c r="I1152" s="73"/>
      <c r="J1152" s="73"/>
    </row>
    <row r="1153" spans="1:10" ht="13.5" customHeight="1">
      <c r="A1153" s="59">
        <v>9</v>
      </c>
      <c r="B1153" s="93">
        <v>1</v>
      </c>
      <c r="C1153" s="59">
        <v>7</v>
      </c>
      <c r="D1153" s="59">
        <v>7</v>
      </c>
      <c r="E1153" s="60">
        <v>9177</v>
      </c>
      <c r="F1153" s="96" t="s">
        <v>1364</v>
      </c>
      <c r="G1153" s="72"/>
      <c r="H1153" s="73"/>
      <c r="I1153" s="73"/>
      <c r="J1153" s="73"/>
    </row>
    <row r="1154" spans="1:10" ht="13.5" customHeight="1">
      <c r="A1154" s="52">
        <v>9</v>
      </c>
      <c r="B1154" s="89">
        <v>1</v>
      </c>
      <c r="C1154" s="52">
        <v>8</v>
      </c>
      <c r="D1154" s="52">
        <v>0</v>
      </c>
      <c r="E1154" s="52">
        <v>9180</v>
      </c>
      <c r="F1154" s="97" t="s">
        <v>1365</v>
      </c>
      <c r="G1154" s="68"/>
      <c r="H1154" s="69"/>
      <c r="I1154" s="69"/>
      <c r="J1154" s="69"/>
    </row>
    <row r="1155" spans="1:10" ht="13.5" customHeight="1">
      <c r="A1155" s="55">
        <v>9</v>
      </c>
      <c r="B1155" s="91">
        <v>1</v>
      </c>
      <c r="C1155" s="55">
        <v>8</v>
      </c>
      <c r="D1155" s="55">
        <v>1</v>
      </c>
      <c r="E1155" s="56">
        <v>9181</v>
      </c>
      <c r="F1155" s="95" t="s">
        <v>1366</v>
      </c>
      <c r="G1155" s="70"/>
      <c r="H1155" s="71"/>
      <c r="I1155" s="71"/>
      <c r="J1155" s="71"/>
    </row>
    <row r="1156" spans="1:10" ht="13.5" customHeight="1">
      <c r="A1156" s="59">
        <v>9</v>
      </c>
      <c r="B1156" s="92">
        <v>1</v>
      </c>
      <c r="C1156" s="59">
        <v>8</v>
      </c>
      <c r="D1156" s="59">
        <v>2</v>
      </c>
      <c r="E1156" s="60">
        <v>9182</v>
      </c>
      <c r="F1156" s="96" t="s">
        <v>1367</v>
      </c>
      <c r="G1156" s="72"/>
      <c r="H1156" s="73"/>
      <c r="I1156" s="73"/>
      <c r="J1156" s="73"/>
    </row>
    <row r="1157" spans="1:10" ht="13.5" customHeight="1">
      <c r="A1157" s="59">
        <v>9</v>
      </c>
      <c r="B1157" s="92">
        <v>1</v>
      </c>
      <c r="C1157" s="59">
        <v>8</v>
      </c>
      <c r="D1157" s="59">
        <v>3</v>
      </c>
      <c r="E1157" s="60">
        <v>9183</v>
      </c>
      <c r="F1157" s="96" t="s">
        <v>1368</v>
      </c>
      <c r="G1157" s="72"/>
      <c r="H1157" s="73"/>
      <c r="I1157" s="73"/>
      <c r="J1157" s="73"/>
    </row>
    <row r="1158" spans="1:10">
      <c r="F1158" s="94"/>
    </row>
    <row r="1167" spans="1:10">
      <c r="F1167" s="94"/>
    </row>
    <row r="1168" spans="1:10">
      <c r="F1168" s="94"/>
    </row>
    <row r="1169" spans="6:6">
      <c r="F1169" s="94"/>
    </row>
    <row r="1170" spans="6:6">
      <c r="F1170" s="94"/>
    </row>
    <row r="1171" spans="6:6">
      <c r="F1171" s="94"/>
    </row>
    <row r="1173" spans="6:6">
      <c r="F1173" s="94"/>
    </row>
    <row r="1174" spans="6:6">
      <c r="F1174" s="94"/>
    </row>
    <row r="1175" spans="6:6">
      <c r="F1175" s="94"/>
    </row>
    <row r="1176" spans="6:6">
      <c r="F1176" s="94"/>
    </row>
    <row r="1177" spans="6:6">
      <c r="F1177" s="94"/>
    </row>
    <row r="1178" spans="6:6">
      <c r="F1178" s="94"/>
    </row>
    <row r="1179" spans="6:6">
      <c r="F1179" s="94"/>
    </row>
    <row r="1186" spans="6:6">
      <c r="F1186" s="94"/>
    </row>
    <row r="1187" spans="6:6">
      <c r="F1187" s="94"/>
    </row>
    <row r="1188" spans="6:6">
      <c r="F1188" s="94"/>
    </row>
    <row r="1189" spans="6:6">
      <c r="F1189" s="94"/>
    </row>
    <row r="1190" spans="6:6">
      <c r="F1190" s="94"/>
    </row>
    <row r="1198" spans="6:6">
      <c r="F1198" s="94"/>
    </row>
    <row r="1199" spans="6:6">
      <c r="F1199" s="94"/>
    </row>
    <row r="1200" spans="6:6">
      <c r="F1200" s="94"/>
    </row>
    <row r="1201" spans="6:6">
      <c r="F1201" s="94"/>
    </row>
    <row r="1202" spans="6:6">
      <c r="F1202" s="94"/>
    </row>
    <row r="1203" spans="6:6">
      <c r="F1203" s="94"/>
    </row>
    <row r="1212" spans="6:6">
      <c r="F1212" s="94"/>
    </row>
    <row r="1213" spans="6:6">
      <c r="F1213" s="94"/>
    </row>
    <row r="1215" spans="6:6">
      <c r="F1215" s="94"/>
    </row>
    <row r="1216" spans="6:6">
      <c r="F1216" s="94"/>
    </row>
    <row r="1217" spans="6:6">
      <c r="F1217" s="94"/>
    </row>
    <row r="1218" spans="6:6">
      <c r="F1218" s="94"/>
    </row>
    <row r="1220" spans="6:6">
      <c r="F1220" s="94"/>
    </row>
    <row r="1221" spans="6:6">
      <c r="F1221" s="94"/>
    </row>
    <row r="1222" spans="6:6">
      <c r="F1222" s="94"/>
    </row>
    <row r="1223" spans="6:6">
      <c r="F1223" s="94"/>
    </row>
    <row r="1224" spans="6:6">
      <c r="F1224" s="94"/>
    </row>
    <row r="1225" spans="6:6">
      <c r="F1225" s="94"/>
    </row>
    <row r="1226" spans="6:6">
      <c r="F1226" s="94"/>
    </row>
    <row r="1233" spans="6:6">
      <c r="F1233" s="94"/>
    </row>
    <row r="1247" spans="6:6">
      <c r="F1247" s="94"/>
    </row>
    <row r="1248" spans="6:6">
      <c r="F1248" s="94"/>
    </row>
    <row r="1249" spans="6:6">
      <c r="F1249" s="94"/>
    </row>
    <row r="1250" spans="6:6">
      <c r="F1250" s="94"/>
    </row>
    <row r="1251" spans="6:6">
      <c r="F1251" s="94"/>
    </row>
    <row r="1252" spans="6:6">
      <c r="F1252" s="94"/>
    </row>
    <row r="1253" spans="6:6">
      <c r="F1253" s="94"/>
    </row>
    <row r="1254" spans="6:6">
      <c r="F1254" s="94"/>
    </row>
    <row r="1255" spans="6:6">
      <c r="F1255" s="94"/>
    </row>
    <row r="1256" spans="6:6">
      <c r="F1256" s="94"/>
    </row>
    <row r="1257" spans="6:6">
      <c r="F1257" s="94"/>
    </row>
    <row r="1258" spans="6:6">
      <c r="F1258" s="94"/>
    </row>
    <row r="1259" spans="6:6">
      <c r="F1259" s="94"/>
    </row>
    <row r="1260" spans="6:6">
      <c r="F1260" s="94"/>
    </row>
    <row r="1261" spans="6:6">
      <c r="F1261" s="94"/>
    </row>
    <row r="1262" spans="6:6">
      <c r="F1262" s="94"/>
    </row>
    <row r="1263" spans="6:6">
      <c r="F1263" s="94"/>
    </row>
    <row r="1264" spans="6:6">
      <c r="F1264" s="94"/>
    </row>
    <row r="1265" spans="6:6">
      <c r="F1265" s="94"/>
    </row>
    <row r="1266" spans="6:6">
      <c r="F1266" s="94"/>
    </row>
    <row r="1267" spans="6:6">
      <c r="F1267" s="94"/>
    </row>
    <row r="1268" spans="6:6">
      <c r="F1268" s="94"/>
    </row>
    <row r="1269" spans="6:6">
      <c r="F1269" s="94"/>
    </row>
    <row r="1270" spans="6:6">
      <c r="F1270" s="94"/>
    </row>
    <row r="1271" spans="6:6">
      <c r="F1271" s="94"/>
    </row>
    <row r="1272" spans="6:6">
      <c r="F1272" s="94"/>
    </row>
    <row r="1273" spans="6:6">
      <c r="F1273" s="94"/>
    </row>
    <row r="1274" spans="6:6">
      <c r="F1274" s="94"/>
    </row>
    <row r="1275" spans="6:6">
      <c r="F1275" s="94"/>
    </row>
    <row r="1276" spans="6:6">
      <c r="F1276" s="94"/>
    </row>
    <row r="1277" spans="6:6">
      <c r="F1277" s="94"/>
    </row>
    <row r="1278" spans="6:6">
      <c r="F1278" s="94"/>
    </row>
    <row r="1279" spans="6:6">
      <c r="F1279" s="94"/>
    </row>
    <row r="1280" spans="6:6">
      <c r="F1280" s="94"/>
    </row>
    <row r="1281" spans="6:6">
      <c r="F1281" s="94"/>
    </row>
    <row r="1282" spans="6:6">
      <c r="F1282" s="94"/>
    </row>
    <row r="1283" spans="6:6">
      <c r="F1283" s="94"/>
    </row>
    <row r="1284" spans="6:6">
      <c r="F1284" s="94"/>
    </row>
    <row r="1288" spans="6:6">
      <c r="F1288" s="94"/>
    </row>
    <row r="1289" spans="6:6">
      <c r="F1289" s="94"/>
    </row>
    <row r="1293" spans="6:6">
      <c r="F1293" s="94"/>
    </row>
    <row r="1294" spans="6:6">
      <c r="F1294" s="94"/>
    </row>
    <row r="1295" spans="6:6">
      <c r="F1295" s="94"/>
    </row>
    <row r="1296" spans="6:6">
      <c r="F1296" s="94"/>
    </row>
    <row r="1304" spans="6:6">
      <c r="F1304" s="94"/>
    </row>
    <row r="1320" spans="6:6">
      <c r="F1320" s="94"/>
    </row>
    <row r="1321" spans="6:6">
      <c r="F1321" s="94"/>
    </row>
    <row r="1322" spans="6:6">
      <c r="F1322" s="94"/>
    </row>
    <row r="1323" spans="6:6">
      <c r="F1323" s="94"/>
    </row>
    <row r="1324" spans="6:6">
      <c r="F1324" s="94"/>
    </row>
    <row r="1325" spans="6:6">
      <c r="F1325" s="94"/>
    </row>
    <row r="1326" spans="6:6">
      <c r="F1326" s="94"/>
    </row>
    <row r="1328" spans="6:6">
      <c r="F1328" s="94"/>
    </row>
    <row r="1329" spans="6:6">
      <c r="F1329" s="94"/>
    </row>
    <row r="1330" spans="6:6">
      <c r="F1330" s="94"/>
    </row>
    <row r="1331" spans="6:6">
      <c r="F1331" s="94"/>
    </row>
    <row r="1333" spans="6:6">
      <c r="F1333" s="94"/>
    </row>
    <row r="1338" spans="6:6">
      <c r="F1338" s="94"/>
    </row>
    <row r="1339" spans="6:6">
      <c r="F1339" s="94"/>
    </row>
    <row r="1340" spans="6:6">
      <c r="F1340" s="94"/>
    </row>
    <row r="1341" spans="6:6">
      <c r="F1341" s="94"/>
    </row>
    <row r="1344" spans="6:6">
      <c r="F1344" s="94"/>
    </row>
    <row r="1350" spans="6:6">
      <c r="F1350" s="94"/>
    </row>
    <row r="1351" spans="6:6">
      <c r="F1351" s="94"/>
    </row>
    <row r="1352" spans="6:6">
      <c r="F1352" s="94"/>
    </row>
    <row r="1353" spans="6:6">
      <c r="F1353" s="94"/>
    </row>
    <row r="1354" spans="6:6">
      <c r="F1354" s="94"/>
    </row>
    <row r="1355" spans="6:6">
      <c r="F1355" s="94"/>
    </row>
    <row r="1368" spans="6:6">
      <c r="F1368" s="94"/>
    </row>
    <row r="1369" spans="6:6">
      <c r="F1369" s="94"/>
    </row>
    <row r="1370" spans="6:6">
      <c r="F1370" s="94"/>
    </row>
    <row r="1371" spans="6:6">
      <c r="F1371" s="94"/>
    </row>
    <row r="1372" spans="6:6">
      <c r="F1372" s="94"/>
    </row>
    <row r="1373" spans="6:6">
      <c r="F1373" s="94"/>
    </row>
    <row r="1374" spans="6:6">
      <c r="F1374" s="94"/>
    </row>
    <row r="1375" spans="6:6">
      <c r="F1375" s="94"/>
    </row>
    <row r="1376" spans="6:6">
      <c r="F1376" s="94"/>
    </row>
    <row r="1388" spans="6:6">
      <c r="F1388" s="94"/>
    </row>
    <row r="1389" spans="6:6">
      <c r="F1389" s="94"/>
    </row>
    <row r="1390" spans="6:6">
      <c r="F1390" s="94"/>
    </row>
    <row r="1391" spans="6:6">
      <c r="F1391" s="94"/>
    </row>
    <row r="1392" spans="6:6">
      <c r="F1392" s="94"/>
    </row>
    <row r="1393" spans="6:6">
      <c r="F1393" s="94"/>
    </row>
    <row r="1394" spans="6:6">
      <c r="F1394" s="94"/>
    </row>
    <row r="1395" spans="6:6">
      <c r="F1395" s="94"/>
    </row>
    <row r="1396" spans="6:6">
      <c r="F1396" s="94"/>
    </row>
    <row r="1397" spans="6:6">
      <c r="F1397" s="94"/>
    </row>
    <row r="1402" spans="6:6">
      <c r="F1402" s="94"/>
    </row>
    <row r="1403" spans="6:6">
      <c r="F1403" s="94"/>
    </row>
    <row r="1404" spans="6:6">
      <c r="F1404" s="94"/>
    </row>
    <row r="1405" spans="6:6">
      <c r="F1405" s="94"/>
    </row>
    <row r="1406" spans="6:6">
      <c r="F1406" s="94"/>
    </row>
    <row r="1407" spans="6:6">
      <c r="F1407" s="94"/>
    </row>
    <row r="1412" spans="6:6">
      <c r="F1412" s="94"/>
    </row>
    <row r="1413" spans="6:6">
      <c r="F1413" s="94"/>
    </row>
    <row r="1414" spans="6:6">
      <c r="F1414" s="94"/>
    </row>
    <row r="1415" spans="6:6">
      <c r="F1415" s="94"/>
    </row>
    <row r="1416" spans="6:6">
      <c r="F1416" s="94"/>
    </row>
    <row r="1417" spans="6:6">
      <c r="F1417" s="94"/>
    </row>
    <row r="1426" spans="6:6">
      <c r="F1426" s="94"/>
    </row>
    <row r="1427" spans="6:6">
      <c r="F1427" s="94"/>
    </row>
    <row r="1438" spans="6:6">
      <c r="F1438" s="94"/>
    </row>
    <row r="1439" spans="6:6">
      <c r="F1439" s="94"/>
    </row>
    <row r="1440" spans="6:6">
      <c r="F1440" s="94"/>
    </row>
    <row r="1441" spans="6:6">
      <c r="F1441" s="94"/>
    </row>
    <row r="1442" spans="6:6">
      <c r="F1442" s="94"/>
    </row>
    <row r="1443" spans="6:6">
      <c r="F1443" s="94"/>
    </row>
    <row r="1444" spans="6:6">
      <c r="F1444" s="94"/>
    </row>
    <row r="1445" spans="6:6">
      <c r="F1445" s="94"/>
    </row>
    <row r="1446" spans="6:6">
      <c r="F1446" s="94"/>
    </row>
    <row r="1447" spans="6:6">
      <c r="F1447" s="94"/>
    </row>
    <row r="1464" spans="6:6">
      <c r="F1464" s="94"/>
    </row>
    <row r="1465" spans="6:6">
      <c r="F1465" s="94"/>
    </row>
    <row r="1466" spans="6:6">
      <c r="F1466" s="94"/>
    </row>
    <row r="1467" spans="6:6">
      <c r="F1467" s="94"/>
    </row>
    <row r="1477" spans="6:6">
      <c r="F1477" s="94"/>
    </row>
    <row r="1478" spans="6:6">
      <c r="F1478" s="94"/>
    </row>
    <row r="1480" spans="6:6">
      <c r="F1480" s="94"/>
    </row>
    <row r="1487" spans="6:6">
      <c r="F1487" s="94"/>
    </row>
    <row r="1488" spans="6:6">
      <c r="F1488" s="94"/>
    </row>
    <row r="1489" spans="6:6">
      <c r="F1489" s="94"/>
    </row>
    <row r="1490" spans="6:6">
      <c r="F1490" s="94"/>
    </row>
    <row r="1491" spans="6:6">
      <c r="F1491" s="94"/>
    </row>
    <row r="1492" spans="6:6">
      <c r="F1492" s="94"/>
    </row>
    <row r="1493" spans="6:6">
      <c r="F1493" s="94"/>
    </row>
    <row r="1494" spans="6:6">
      <c r="F1494" s="94"/>
    </row>
    <row r="1503" spans="6:6">
      <c r="F1503" s="94"/>
    </row>
    <row r="1504" spans="6:6">
      <c r="F1504" s="94"/>
    </row>
    <row r="1505" spans="6:6">
      <c r="F1505" s="94"/>
    </row>
    <row r="1506" spans="6:6">
      <c r="F1506" s="94"/>
    </row>
    <row r="1507" spans="6:6">
      <c r="F1507" s="94"/>
    </row>
    <row r="1508" spans="6:6">
      <c r="F1508" s="94"/>
    </row>
    <row r="1514" spans="6:6">
      <c r="F1514" s="94"/>
    </row>
    <row r="1515" spans="6:6">
      <c r="F1515" s="94"/>
    </row>
    <row r="1516" spans="6:6">
      <c r="F1516" s="94"/>
    </row>
    <row r="1517" spans="6:6">
      <c r="F1517" s="94"/>
    </row>
    <row r="1518" spans="6:6">
      <c r="F1518" s="94"/>
    </row>
    <row r="1519" spans="6:6">
      <c r="F1519" s="94"/>
    </row>
    <row r="1527" spans="6:6">
      <c r="F1527" s="94"/>
    </row>
    <row r="1528" spans="6:6">
      <c r="F1528" s="94"/>
    </row>
    <row r="1529" spans="6:6">
      <c r="F1529" s="94"/>
    </row>
    <row r="1530" spans="6:6">
      <c r="F1530" s="94"/>
    </row>
    <row r="1531" spans="6:6">
      <c r="F1531" s="94"/>
    </row>
    <row r="1532" spans="6:6">
      <c r="F1532" s="94"/>
    </row>
    <row r="1533" spans="6:6">
      <c r="F1533" s="94"/>
    </row>
    <row r="1534" spans="6:6">
      <c r="F1534" s="94"/>
    </row>
    <row r="1543" spans="6:6">
      <c r="F1543" s="94"/>
    </row>
    <row r="1544" spans="6:6">
      <c r="F1544" s="94"/>
    </row>
    <row r="1546" spans="6:6">
      <c r="F1546" s="94"/>
    </row>
    <row r="1547" spans="6:6">
      <c r="F1547" s="94"/>
    </row>
    <row r="1548" spans="6:6">
      <c r="F1548" s="94"/>
    </row>
    <row r="1549" spans="6:6">
      <c r="F1549" s="94"/>
    </row>
    <row r="1550" spans="6:6">
      <c r="F1550" s="94"/>
    </row>
    <row r="1551" spans="6:6">
      <c r="F1551" s="94"/>
    </row>
    <row r="1552" spans="6:6">
      <c r="F1552" s="94"/>
    </row>
    <row r="1553" spans="6:6">
      <c r="F1553" s="94"/>
    </row>
    <row r="1554" spans="6:6">
      <c r="F1554" s="94"/>
    </row>
    <row r="1556" spans="6:6">
      <c r="F1556" s="94"/>
    </row>
    <row r="1559" spans="6:6">
      <c r="F1559" s="94"/>
    </row>
    <row r="1563" spans="6:6">
      <c r="F1563" s="94"/>
    </row>
    <row r="1565" spans="6:6">
      <c r="F1565" s="94"/>
    </row>
    <row r="1566" spans="6:6">
      <c r="F1566" s="94"/>
    </row>
    <row r="1567" spans="6:6">
      <c r="F1567" s="94"/>
    </row>
    <row r="1568" spans="6:6">
      <c r="F1568" s="94"/>
    </row>
    <row r="1569" spans="6:6">
      <c r="F1569" s="94"/>
    </row>
    <row r="1570" spans="6:6">
      <c r="F1570" s="94"/>
    </row>
    <row r="1571" spans="6:6">
      <c r="F1571" s="94"/>
    </row>
    <row r="1572" spans="6:6">
      <c r="F1572" s="94"/>
    </row>
    <row r="1573" spans="6:6">
      <c r="F1573" s="94"/>
    </row>
    <row r="1574" spans="6:6">
      <c r="F1574" s="94"/>
    </row>
    <row r="1581" spans="6:6">
      <c r="F1581" s="94"/>
    </row>
    <row r="1582" spans="6:6">
      <c r="F1582" s="94"/>
    </row>
    <row r="1583" spans="6:6">
      <c r="F1583" s="94"/>
    </row>
    <row r="1587" spans="6:6">
      <c r="F1587" s="94"/>
    </row>
    <row r="1588" spans="6:6">
      <c r="F1588" s="94"/>
    </row>
    <row r="1604" spans="6:6">
      <c r="F1604" s="94"/>
    </row>
    <row r="1610" spans="6:6">
      <c r="F1610" s="94"/>
    </row>
    <row r="1611" spans="6:6">
      <c r="F1611" s="94"/>
    </row>
    <row r="1612" spans="6:6">
      <c r="F1612" s="94"/>
    </row>
    <row r="1613" spans="6:6">
      <c r="F1613" s="94"/>
    </row>
    <row r="1638" spans="6:6">
      <c r="F1638" s="94"/>
    </row>
    <row r="1639" spans="6:6">
      <c r="F1639" s="94"/>
    </row>
    <row r="1643" spans="6:6">
      <c r="F1643" s="94"/>
    </row>
    <row r="1644" spans="6:6">
      <c r="F1644" s="94"/>
    </row>
    <row r="1664" spans="6:6">
      <c r="F1664" s="94"/>
    </row>
    <row r="1674" spans="6:6">
      <c r="F1674" s="94"/>
    </row>
    <row r="1683" spans="6:6">
      <c r="F1683" s="94"/>
    </row>
    <row r="1684" spans="6:6">
      <c r="F1684" s="94"/>
    </row>
    <row r="1689" spans="6:6">
      <c r="F1689" s="94"/>
    </row>
    <row r="1696" spans="6:6">
      <c r="F1696" s="94"/>
    </row>
    <row r="1702" spans="6:6">
      <c r="F1702" s="94"/>
    </row>
    <row r="1735" spans="6:6">
      <c r="F1735" s="94"/>
    </row>
    <row r="1736" spans="6:6">
      <c r="F1736" s="94"/>
    </row>
    <row r="1741" spans="6:6">
      <c r="F1741" s="94"/>
    </row>
    <row r="1742" spans="6:6">
      <c r="F1742" s="94"/>
    </row>
    <row r="1743" spans="6:6">
      <c r="F1743" s="94"/>
    </row>
    <row r="1744" spans="6:6">
      <c r="F1744" s="94"/>
    </row>
    <row r="1745" spans="6:6">
      <c r="F1745" s="94"/>
    </row>
    <row r="1746" spans="6:6">
      <c r="F1746" s="94"/>
    </row>
    <row r="1747" spans="6:6">
      <c r="F1747" s="94"/>
    </row>
    <row r="1748" spans="6:6">
      <c r="F1748" s="94"/>
    </row>
    <row r="1749" spans="6:6">
      <c r="F1749" s="94"/>
    </row>
    <row r="1750" spans="6:6">
      <c r="F1750" s="94"/>
    </row>
    <row r="1751" spans="6:6">
      <c r="F1751" s="94"/>
    </row>
    <row r="1752" spans="6:6">
      <c r="F1752" s="94"/>
    </row>
    <row r="1753" spans="6:6">
      <c r="F1753" s="94"/>
    </row>
    <row r="1754" spans="6:6">
      <c r="F1754" s="94"/>
    </row>
    <row r="1755" spans="6:6">
      <c r="F1755" s="94"/>
    </row>
    <row r="1756" spans="6:6">
      <c r="F1756" s="94"/>
    </row>
    <row r="1757" spans="6:6">
      <c r="F1757" s="94"/>
    </row>
    <row r="1758" spans="6:6">
      <c r="F1758" s="94"/>
    </row>
    <row r="1759" spans="6:6">
      <c r="F1759" s="94"/>
    </row>
    <row r="1760" spans="6:6">
      <c r="F1760" s="94"/>
    </row>
    <row r="1761" spans="6:6">
      <c r="F1761" s="94"/>
    </row>
    <row r="1762" spans="6:6">
      <c r="F1762" s="94"/>
    </row>
    <row r="1763" spans="6:6">
      <c r="F1763" s="94"/>
    </row>
    <row r="1764" spans="6:6">
      <c r="F1764" s="94"/>
    </row>
    <row r="1765" spans="6:6">
      <c r="F1765" s="94"/>
    </row>
    <row r="1766" spans="6:6">
      <c r="F1766" s="94"/>
    </row>
    <row r="1775" spans="6:6">
      <c r="F1775" s="94"/>
    </row>
    <row r="1776" spans="6:6">
      <c r="F1776" s="94"/>
    </row>
    <row r="1780" spans="6:6">
      <c r="F1780" s="94"/>
    </row>
    <row r="1787" spans="6:6">
      <c r="F1787" s="94"/>
    </row>
    <row r="1827" spans="6:6">
      <c r="F1827" s="94"/>
    </row>
    <row r="1837" spans="6:6">
      <c r="F1837" s="94"/>
    </row>
    <row r="1856" spans="6:6">
      <c r="F1856" s="94"/>
    </row>
    <row r="1857" spans="6:6">
      <c r="F1857" s="94"/>
    </row>
    <row r="1861" spans="6:6">
      <c r="F1861" s="94"/>
    </row>
    <row r="1862" spans="6:6">
      <c r="F1862" s="94"/>
    </row>
    <row r="1863" spans="6:6">
      <c r="F1863" s="94"/>
    </row>
    <row r="1864" spans="6:6">
      <c r="F1864" s="94"/>
    </row>
    <row r="1865" spans="6:6">
      <c r="F1865" s="94"/>
    </row>
    <row r="1866" spans="6:6">
      <c r="F1866" s="94"/>
    </row>
    <row r="1867" spans="6:6">
      <c r="F1867" s="94"/>
    </row>
    <row r="1877" spans="6:6">
      <c r="F1877" s="94"/>
    </row>
    <row r="1883" spans="6:6">
      <c r="F1883" s="94"/>
    </row>
    <row r="1884" spans="6:6">
      <c r="F1884" s="94"/>
    </row>
    <row r="1885" spans="6:6">
      <c r="F1885" s="94"/>
    </row>
    <row r="1886" spans="6:6">
      <c r="F1886" s="94"/>
    </row>
    <row r="1887" spans="6:6">
      <c r="F1887" s="94"/>
    </row>
    <row r="1888" spans="6:6">
      <c r="F1888" s="94"/>
    </row>
    <row r="1889" spans="6:6">
      <c r="F1889" s="94"/>
    </row>
    <row r="1897" spans="6:6">
      <c r="F1897" s="94"/>
    </row>
    <row r="1898" spans="6:6">
      <c r="F1898" s="94"/>
    </row>
    <row r="1899" spans="6:6">
      <c r="F1899" s="94"/>
    </row>
    <row r="1901" spans="6:6">
      <c r="F1901" s="94"/>
    </row>
    <row r="1902" spans="6:6">
      <c r="F1902" s="94"/>
    </row>
    <row r="1903" spans="6:6">
      <c r="F1903" s="94"/>
    </row>
    <row r="1904" spans="6:6">
      <c r="F1904" s="94"/>
    </row>
    <row r="1905" spans="6:6">
      <c r="F1905" s="94"/>
    </row>
    <row r="1906" spans="6:6">
      <c r="F1906" s="94"/>
    </row>
    <row r="1907" spans="6:6">
      <c r="F1907" s="94"/>
    </row>
    <row r="1908" spans="6:6">
      <c r="F1908" s="94"/>
    </row>
    <row r="1909" spans="6:6">
      <c r="F1909" s="94"/>
    </row>
    <row r="1911" spans="6:6">
      <c r="F1911" s="94"/>
    </row>
    <row r="1912" spans="6:6">
      <c r="F1912" s="94"/>
    </row>
    <row r="1913" spans="6:6">
      <c r="F1913" s="94"/>
    </row>
    <row r="1914" spans="6:6">
      <c r="F1914" s="94"/>
    </row>
    <row r="1915" spans="6:6">
      <c r="F1915" s="94"/>
    </row>
    <row r="1916" spans="6:6">
      <c r="F1916" s="94"/>
    </row>
    <row r="1917" spans="6:6">
      <c r="F1917" s="94"/>
    </row>
    <row r="1918" spans="6:6">
      <c r="F1918" s="94"/>
    </row>
    <row r="1919" spans="6:6">
      <c r="F1919" s="94"/>
    </row>
    <row r="1925" spans="6:6">
      <c r="F1925" s="94"/>
    </row>
    <row r="1926" spans="6:6">
      <c r="F1926" s="94"/>
    </row>
    <row r="1927" spans="6:6">
      <c r="F1927" s="94"/>
    </row>
    <row r="1928" spans="6:6">
      <c r="F1928" s="94"/>
    </row>
    <row r="1929" spans="6:6">
      <c r="F1929" s="94"/>
    </row>
    <row r="1931" spans="6:6">
      <c r="F1931" s="94"/>
    </row>
    <row r="1932" spans="6:6">
      <c r="F1932" s="94"/>
    </row>
    <row r="1933" spans="6:6">
      <c r="F1933" s="94"/>
    </row>
    <row r="1934" spans="6:6">
      <c r="F1934" s="94"/>
    </row>
    <row r="1935" spans="6:6">
      <c r="F1935" s="94"/>
    </row>
    <row r="1936" spans="6:6">
      <c r="F1936" s="94"/>
    </row>
    <row r="1937" spans="6:6">
      <c r="F1937" s="94"/>
    </row>
    <row r="1938" spans="6:6">
      <c r="F1938" s="94"/>
    </row>
    <row r="1939" spans="6:6">
      <c r="F1939" s="94"/>
    </row>
    <row r="1946" spans="6:6">
      <c r="F1946" s="94"/>
    </row>
    <row r="1947" spans="6:6">
      <c r="F1947" s="94"/>
    </row>
    <row r="1948" spans="6:6">
      <c r="F1948" s="94"/>
    </row>
    <row r="1949" spans="6:6">
      <c r="F1949" s="94"/>
    </row>
    <row r="1950" spans="6:6">
      <c r="F1950" s="94"/>
    </row>
    <row r="1951" spans="6:6">
      <c r="F1951" s="94"/>
    </row>
    <row r="1952" spans="6:6">
      <c r="F1952" s="94"/>
    </row>
    <row r="1953" spans="6:6">
      <c r="F1953" s="94"/>
    </row>
    <row r="1954" spans="6:6">
      <c r="F1954" s="94"/>
    </row>
    <row r="1955" spans="6:6">
      <c r="F1955" s="94"/>
    </row>
    <row r="1956" spans="6:6">
      <c r="F1956" s="94"/>
    </row>
    <row r="1957" spans="6:6">
      <c r="F1957" s="94"/>
    </row>
    <row r="1958" spans="6:6">
      <c r="F1958" s="94"/>
    </row>
    <row r="1959" spans="6:6">
      <c r="F1959" s="94"/>
    </row>
    <row r="1970" spans="6:6">
      <c r="F1970" s="94"/>
    </row>
    <row r="1971" spans="6:6">
      <c r="F1971" s="94"/>
    </row>
    <row r="1972" spans="6:6">
      <c r="F1972" s="94"/>
    </row>
    <row r="1974" spans="6:6">
      <c r="F1974" s="94"/>
    </row>
    <row r="1975" spans="6:6">
      <c r="F1975" s="94"/>
    </row>
    <row r="1985" spans="6:6">
      <c r="F1985" s="94"/>
    </row>
    <row r="1986" spans="6:6">
      <c r="F1986" s="94"/>
    </row>
    <row r="2002" spans="6:6">
      <c r="F2002" s="94"/>
    </row>
    <row r="2003" spans="6:6">
      <c r="F2003" s="94"/>
    </row>
    <row r="2004" spans="6:6">
      <c r="F2004" s="94"/>
    </row>
    <row r="2005" spans="6:6">
      <c r="F2005" s="94"/>
    </row>
    <row r="2006" spans="6:6">
      <c r="F2006" s="94"/>
    </row>
    <row r="2011" spans="6:6">
      <c r="F2011" s="94"/>
    </row>
    <row r="2012" spans="6:6">
      <c r="F2012" s="94"/>
    </row>
    <row r="2013" spans="6:6">
      <c r="F2013" s="94"/>
    </row>
    <row r="2014" spans="6:6">
      <c r="F2014" s="94"/>
    </row>
    <row r="2015" spans="6:6">
      <c r="F2015" s="94"/>
    </row>
    <row r="2016" spans="6:6">
      <c r="F2016" s="94"/>
    </row>
    <row r="2020" spans="6:6">
      <c r="F2020" s="94"/>
    </row>
    <row r="2021" spans="6:6">
      <c r="F2021" s="94"/>
    </row>
    <row r="2022" spans="6:6">
      <c r="F2022" s="94"/>
    </row>
    <row r="2023" spans="6:6">
      <c r="F2023" s="94"/>
    </row>
    <row r="2024" spans="6:6">
      <c r="F2024" s="94"/>
    </row>
    <row r="2025" spans="6:6">
      <c r="F2025" s="94"/>
    </row>
    <row r="2026" spans="6:6">
      <c r="F2026" s="94"/>
    </row>
    <row r="2035" spans="6:6">
      <c r="F2035" s="94"/>
    </row>
    <row r="2036" spans="6:6">
      <c r="F2036" s="94"/>
    </row>
    <row r="2087" spans="6:6">
      <c r="F2087" s="94"/>
    </row>
    <row r="2088" spans="6:6">
      <c r="F2088" s="94"/>
    </row>
    <row r="2089" spans="6:6">
      <c r="F2089" s="94"/>
    </row>
    <row r="2090" spans="6:6">
      <c r="F2090" s="94"/>
    </row>
    <row r="2091" spans="6:6">
      <c r="F2091" s="94"/>
    </row>
    <row r="2092" spans="6:6">
      <c r="F2092" s="94"/>
    </row>
    <row r="2093" spans="6:6">
      <c r="F2093" s="94"/>
    </row>
    <row r="2094" spans="6:6">
      <c r="F2094" s="94"/>
    </row>
    <row r="2095" spans="6:6">
      <c r="F2095" s="94"/>
    </row>
    <row r="2096" spans="6:6">
      <c r="F2096" s="94"/>
    </row>
    <row r="2097" spans="6:6">
      <c r="F2097" s="94"/>
    </row>
    <row r="2098" spans="6:6">
      <c r="F2098" s="94"/>
    </row>
    <row r="2099" spans="6:6">
      <c r="F2099" s="94"/>
    </row>
    <row r="2100" spans="6:6">
      <c r="F2100" s="94"/>
    </row>
    <row r="2101" spans="6:6">
      <c r="F2101" s="94"/>
    </row>
    <row r="2102" spans="6:6">
      <c r="F2102" s="94"/>
    </row>
    <row r="2103" spans="6:6">
      <c r="F2103" s="94"/>
    </row>
    <row r="2104" spans="6:6">
      <c r="F2104" s="94"/>
    </row>
    <row r="2105" spans="6:6">
      <c r="F2105" s="94"/>
    </row>
    <row r="2106" spans="6:6">
      <c r="F2106" s="94"/>
    </row>
    <row r="2107" spans="6:6">
      <c r="F2107" s="94"/>
    </row>
    <row r="2108" spans="6:6">
      <c r="F2108" s="94"/>
    </row>
    <row r="2109" spans="6:6">
      <c r="F2109" s="94"/>
    </row>
    <row r="2110" spans="6:6">
      <c r="F2110" s="94"/>
    </row>
    <row r="2111" spans="6:6">
      <c r="F2111" s="94"/>
    </row>
    <row r="2112" spans="6:6">
      <c r="F2112" s="94"/>
    </row>
    <row r="2113" spans="6:6">
      <c r="F2113" s="94"/>
    </row>
    <row r="2114" spans="6:6">
      <c r="F2114" s="94"/>
    </row>
    <row r="2115" spans="6:6">
      <c r="F2115" s="94"/>
    </row>
    <row r="2116" spans="6:6">
      <c r="F2116" s="94"/>
    </row>
    <row r="2117" spans="6:6">
      <c r="F2117" s="94"/>
    </row>
    <row r="2118" spans="6:6">
      <c r="F2118" s="94"/>
    </row>
    <row r="2119" spans="6:6">
      <c r="F2119" s="94"/>
    </row>
    <row r="2120" spans="6:6">
      <c r="F2120" s="94"/>
    </row>
    <row r="2121" spans="6:6">
      <c r="F2121" s="94"/>
    </row>
    <row r="2122" spans="6:6">
      <c r="F2122" s="94"/>
    </row>
    <row r="2123" spans="6:6">
      <c r="F2123" s="94"/>
    </row>
    <row r="2124" spans="6:6">
      <c r="F2124" s="94"/>
    </row>
    <row r="2125" spans="6:6">
      <c r="F2125" s="94"/>
    </row>
    <row r="2126" spans="6:6">
      <c r="F2126" s="94"/>
    </row>
    <row r="2127" spans="6:6">
      <c r="F2127" s="94"/>
    </row>
    <row r="2128" spans="6:6">
      <c r="F2128" s="94"/>
    </row>
    <row r="2129" spans="6:6">
      <c r="F2129" s="94"/>
    </row>
    <row r="2130" spans="6:6">
      <c r="F2130" s="94"/>
    </row>
    <row r="2131" spans="6:6">
      <c r="F2131" s="94"/>
    </row>
    <row r="2132" spans="6:6">
      <c r="F2132" s="94"/>
    </row>
    <row r="2133" spans="6:6">
      <c r="F2133" s="94"/>
    </row>
    <row r="2134" spans="6:6">
      <c r="F2134" s="94"/>
    </row>
    <row r="2135" spans="6:6">
      <c r="F2135" s="94"/>
    </row>
    <row r="2136" spans="6:6">
      <c r="F2136" s="94"/>
    </row>
    <row r="2137" spans="6:6">
      <c r="F2137" s="94"/>
    </row>
    <row r="2138" spans="6:6">
      <c r="F2138" s="94"/>
    </row>
    <row r="2139" spans="6:6">
      <c r="F2139" s="94"/>
    </row>
    <row r="2140" spans="6:6">
      <c r="F2140" s="94"/>
    </row>
    <row r="2141" spans="6:6">
      <c r="F2141" s="94"/>
    </row>
    <row r="2142" spans="6:6">
      <c r="F2142" s="94"/>
    </row>
    <row r="2143" spans="6:6">
      <c r="F2143" s="94"/>
    </row>
    <row r="2144" spans="6:6">
      <c r="F2144" s="94"/>
    </row>
    <row r="2145" spans="6:6">
      <c r="F2145" s="94"/>
    </row>
    <row r="2146" spans="6:6">
      <c r="F2146" s="94"/>
    </row>
    <row r="2147" spans="6:6">
      <c r="F2147" s="94"/>
    </row>
    <row r="2148" spans="6:6">
      <c r="F2148" s="94"/>
    </row>
    <row r="2149" spans="6:6">
      <c r="F2149" s="94"/>
    </row>
    <row r="2150" spans="6:6">
      <c r="F2150" s="94"/>
    </row>
    <row r="2151" spans="6:6">
      <c r="F2151" s="94"/>
    </row>
    <row r="2152" spans="6:6">
      <c r="F2152" s="94"/>
    </row>
    <row r="2153" spans="6:6">
      <c r="F2153" s="94"/>
    </row>
    <row r="2154" spans="6:6">
      <c r="F2154" s="94"/>
    </row>
    <row r="2155" spans="6:6">
      <c r="F2155" s="94"/>
    </row>
    <row r="2156" spans="6:6">
      <c r="F2156" s="94"/>
    </row>
    <row r="2157" spans="6:6">
      <c r="F2157" s="94"/>
    </row>
    <row r="2158" spans="6:6">
      <c r="F2158" s="94"/>
    </row>
    <row r="2159" spans="6:6">
      <c r="F2159" s="94"/>
    </row>
    <row r="2160" spans="6:6">
      <c r="F2160" s="94"/>
    </row>
    <row r="2161" spans="6:6">
      <c r="F2161" s="94"/>
    </row>
    <row r="2162" spans="6:6">
      <c r="F2162" s="94"/>
    </row>
    <row r="2163" spans="6:6">
      <c r="F2163" s="94"/>
    </row>
    <row r="2164" spans="6:6">
      <c r="F2164" s="94"/>
    </row>
    <row r="2165" spans="6:6">
      <c r="F2165" s="94"/>
    </row>
    <row r="2166" spans="6:6">
      <c r="F2166" s="94"/>
    </row>
    <row r="2167" spans="6:6">
      <c r="F2167" s="94"/>
    </row>
    <row r="2168" spans="6:6">
      <c r="F2168" s="94"/>
    </row>
    <row r="2169" spans="6:6">
      <c r="F2169" s="94"/>
    </row>
  </sheetData>
  <autoFilter ref="A1:J1157" xr:uid="{D6A1B99B-A432-4D05-8DCE-1B8966F03EDB}">
    <filterColumn colId="1" showButton="0"/>
    <filterColumn colId="5" showButton="0"/>
  </autoFilter>
  <mergeCells count="41">
    <mergeCell ref="B1:C1"/>
    <mergeCell ref="E1:E2"/>
    <mergeCell ref="H1:H2"/>
    <mergeCell ref="I1:I2"/>
    <mergeCell ref="J1:J2"/>
    <mergeCell ref="H993:H999"/>
    <mergeCell ref="I993:I999"/>
    <mergeCell ref="J993:J999"/>
    <mergeCell ref="H863:H867"/>
    <mergeCell ref="I863:I867"/>
    <mergeCell ref="J863:J867"/>
    <mergeCell ref="H1011:H1019"/>
    <mergeCell ref="I1011:I1019"/>
    <mergeCell ref="J1011:J1019"/>
    <mergeCell ref="H1001:H1009"/>
    <mergeCell ref="I1001:I1009"/>
    <mergeCell ref="J1001:J1009"/>
    <mergeCell ref="H1031:H1038"/>
    <mergeCell ref="I1031:I1038"/>
    <mergeCell ref="J1031:J1038"/>
    <mergeCell ref="H1021:H1029"/>
    <mergeCell ref="I1021:I1029"/>
    <mergeCell ref="J1021:J1029"/>
    <mergeCell ref="H1049:H1057"/>
    <mergeCell ref="I1049:I1057"/>
    <mergeCell ref="J1049:J1057"/>
    <mergeCell ref="H1040:H1047"/>
    <mergeCell ref="I1040:I1047"/>
    <mergeCell ref="J1040:J1047"/>
    <mergeCell ref="H1067:H1068"/>
    <mergeCell ref="I1067:I1068"/>
    <mergeCell ref="J1067:J1068"/>
    <mergeCell ref="H1059:H1065"/>
    <mergeCell ref="I1059:I1065"/>
    <mergeCell ref="J1059:J1065"/>
    <mergeCell ref="J1125:J1133"/>
    <mergeCell ref="H1125:H1133"/>
    <mergeCell ref="I1125:I1133"/>
    <mergeCell ref="H1072:H1079"/>
    <mergeCell ref="I1072:I1079"/>
    <mergeCell ref="J1072:J107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9BC3-C17B-4DA5-B286-71516CB94C53}">
  <sheetPr codeName="Sheet7">
    <tabColor rgb="FF00B050"/>
  </sheetPr>
  <dimension ref="A1:C24"/>
  <sheetViews>
    <sheetView showGridLines="0" topLeftCell="A4" zoomScaleNormal="100" workbookViewId="0">
      <selection activeCell="B9" sqref="B9"/>
    </sheetView>
  </sheetViews>
  <sheetFormatPr defaultRowHeight="15"/>
  <cols>
    <col min="1" max="1" width="9.7109375" customWidth="1"/>
    <col min="2" max="2" width="40" bestFit="1" customWidth="1"/>
    <col min="3" max="3" width="9.42578125" customWidth="1"/>
    <col min="4" max="4" width="2.42578125" customWidth="1"/>
  </cols>
  <sheetData>
    <row r="1" spans="1:3" ht="14.45" customHeight="1">
      <c r="A1" s="204" t="s">
        <v>1369</v>
      </c>
      <c r="B1" s="205"/>
      <c r="C1" s="2"/>
    </row>
    <row r="2" spans="1:3" ht="14.45" customHeight="1">
      <c r="A2" s="206"/>
      <c r="B2" s="207"/>
      <c r="C2" s="2"/>
    </row>
    <row r="3" spans="1:3" ht="14.45" customHeight="1" thickBot="1">
      <c r="A3" s="208"/>
      <c r="B3" s="209"/>
      <c r="C3" s="2"/>
    </row>
    <row r="4" spans="1:3" ht="14.45" customHeight="1" thickBot="1">
      <c r="A4" s="19" t="s">
        <v>1370</v>
      </c>
      <c r="B4" s="20" t="s">
        <v>1371</v>
      </c>
      <c r="C4" s="21"/>
    </row>
    <row r="5" spans="1:3" ht="14.45" customHeight="1">
      <c r="A5" s="17" t="s">
        <v>343</v>
      </c>
      <c r="B5" s="18" t="s">
        <v>1372</v>
      </c>
      <c r="C5" s="16"/>
    </row>
    <row r="6" spans="1:3" ht="14.45" customHeight="1">
      <c r="A6" s="14" t="s">
        <v>4</v>
      </c>
      <c r="B6" s="12" t="s">
        <v>1289</v>
      </c>
      <c r="C6" s="3"/>
    </row>
    <row r="7" spans="1:3" ht="14.45" customHeight="1">
      <c r="A7" s="14" t="s">
        <v>340</v>
      </c>
      <c r="B7" s="12" t="s">
        <v>1373</v>
      </c>
      <c r="C7" s="3"/>
    </row>
    <row r="8" spans="1:3" ht="14.45" customHeight="1">
      <c r="A8" s="14" t="s">
        <v>1374</v>
      </c>
      <c r="B8" s="12" t="s">
        <v>1375</v>
      </c>
      <c r="C8" s="3"/>
    </row>
    <row r="9" spans="1:3" ht="14.45" customHeight="1">
      <c r="A9" s="14" t="s">
        <v>7</v>
      </c>
      <c r="B9" s="12" t="s">
        <v>667</v>
      </c>
      <c r="C9" s="3"/>
    </row>
    <row r="10" spans="1:3" ht="14.45" customHeight="1">
      <c r="A10" s="14" t="s">
        <v>1376</v>
      </c>
      <c r="B10" s="12" t="s">
        <v>1377</v>
      </c>
      <c r="C10" s="3"/>
    </row>
    <row r="11" spans="1:3">
      <c r="A11" s="14" t="s">
        <v>143</v>
      </c>
      <c r="B11" s="12" t="s">
        <v>502</v>
      </c>
      <c r="C11" s="3"/>
    </row>
    <row r="12" spans="1:3">
      <c r="A12" s="14" t="s">
        <v>150</v>
      </c>
      <c r="B12" s="12" t="s">
        <v>1378</v>
      </c>
      <c r="C12" s="3"/>
    </row>
    <row r="13" spans="1:3" ht="14.45" customHeight="1">
      <c r="A13" s="14" t="s">
        <v>1379</v>
      </c>
      <c r="B13" s="12" t="s">
        <v>1380</v>
      </c>
      <c r="C13" s="3"/>
    </row>
    <row r="14" spans="1:3" ht="14.45" customHeight="1">
      <c r="A14" s="14" t="s">
        <v>1381</v>
      </c>
      <c r="B14" s="12" t="s">
        <v>1382</v>
      </c>
      <c r="C14" s="3"/>
    </row>
    <row r="15" spans="1:3" ht="14.45" customHeight="1">
      <c r="A15" s="14" t="s">
        <v>1383</v>
      </c>
      <c r="B15" s="12" t="s">
        <v>1384</v>
      </c>
      <c r="C15" s="3"/>
    </row>
    <row r="16" spans="1:3" ht="14.45" customHeight="1">
      <c r="A16" s="14" t="s">
        <v>25</v>
      </c>
      <c r="B16" s="12" t="s">
        <v>1385</v>
      </c>
      <c r="C16" s="3"/>
    </row>
    <row r="17" spans="1:3" ht="14.45" customHeight="1">
      <c r="A17" s="14" t="s">
        <v>1386</v>
      </c>
      <c r="B17" s="12" t="s">
        <v>923</v>
      </c>
      <c r="C17" s="3"/>
    </row>
    <row r="18" spans="1:3">
      <c r="A18" s="14" t="s">
        <v>1387</v>
      </c>
      <c r="B18" s="12" t="s">
        <v>1388</v>
      </c>
    </row>
    <row r="19" spans="1:3">
      <c r="A19" s="14" t="s">
        <v>1389</v>
      </c>
      <c r="B19" s="12" t="s">
        <v>1390</v>
      </c>
    </row>
    <row r="20" spans="1:3" ht="14.45" customHeight="1">
      <c r="A20" s="14" t="s">
        <v>1391</v>
      </c>
      <c r="B20" s="12" t="s">
        <v>1392</v>
      </c>
    </row>
    <row r="21" spans="1:3" ht="14.45" customHeight="1">
      <c r="A21" s="14" t="s">
        <v>1393</v>
      </c>
      <c r="B21" s="12" t="s">
        <v>1394</v>
      </c>
    </row>
    <row r="22" spans="1:3" ht="14.45" customHeight="1">
      <c r="A22" s="27" t="s">
        <v>1395</v>
      </c>
      <c r="B22" s="28" t="s">
        <v>1396</v>
      </c>
    </row>
    <row r="23" spans="1:3" ht="15" customHeight="1" thickBot="1">
      <c r="A23" s="15" t="s">
        <v>1397</v>
      </c>
      <c r="B23" s="13" t="s">
        <v>1398</v>
      </c>
    </row>
    <row r="24" spans="1:3" ht="14.45" customHeight="1"/>
  </sheetData>
  <mergeCells count="1">
    <mergeCell ref="A1:B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C1B8D-0C17-4B4F-93CA-2D7C49AA9483}">
  <sheetPr codeName="Sheet5">
    <tabColor rgb="FF00B050"/>
    <pageSetUpPr fitToPage="1"/>
  </sheetPr>
  <dimension ref="A1:E100"/>
  <sheetViews>
    <sheetView topLeftCell="A4" workbookViewId="0">
      <selection activeCell="B17" sqref="B17"/>
    </sheetView>
  </sheetViews>
  <sheetFormatPr defaultColWidth="8.85546875" defaultRowHeight="12"/>
  <cols>
    <col min="1" max="1" width="17.140625" style="8" customWidth="1"/>
    <col min="2" max="2" width="38.85546875" style="7" customWidth="1"/>
    <col min="3" max="3" width="61.42578125" style="1" customWidth="1"/>
    <col min="4" max="4" width="8.85546875" style="7"/>
    <col min="5" max="5" width="17.5703125" style="7" customWidth="1"/>
    <col min="6" max="16384" width="8.85546875" style="7"/>
  </cols>
  <sheetData>
    <row r="1" spans="1:5" s="6" customFormat="1" ht="26.25" customHeight="1">
      <c r="A1" s="212" t="s">
        <v>1399</v>
      </c>
      <c r="B1" s="212"/>
      <c r="C1" s="212"/>
    </row>
    <row r="2" spans="1:5" s="6" customFormat="1" ht="26.25" customHeight="1">
      <c r="A2" s="212"/>
      <c r="B2" s="212"/>
      <c r="C2" s="212"/>
    </row>
    <row r="3" spans="1:5">
      <c r="A3" s="29" t="s">
        <v>1400</v>
      </c>
      <c r="B3" s="29" t="s">
        <v>1401</v>
      </c>
      <c r="C3" s="29" t="s">
        <v>1402</v>
      </c>
    </row>
    <row r="4" spans="1:5" ht="15" customHeight="1">
      <c r="A4" s="211" t="s">
        <v>1403</v>
      </c>
      <c r="B4" s="211"/>
      <c r="C4" s="211"/>
    </row>
    <row r="5" spans="1:5">
      <c r="A5" s="30" t="s">
        <v>1404</v>
      </c>
      <c r="B5" s="30" t="s">
        <v>1405</v>
      </c>
      <c r="C5" s="30" t="e" cm="1">
        <f t="array" aca="1" ref="C5" ca="1">- Permitting
- Authority Implementation Plan
- Authority Approval Packages
- Regulatory Compliance
- Environmental Permitting Compliance Requirements</f>
        <v>#NAME?</v>
      </c>
      <c r="E5" s="34" t="s">
        <v>1404</v>
      </c>
    </row>
    <row r="6" spans="1:5">
      <c r="A6" s="30" t="s">
        <v>1406</v>
      </c>
      <c r="B6" s="30" t="s">
        <v>1407</v>
      </c>
      <c r="C6" s="30" t="s">
        <v>1408</v>
      </c>
      <c r="E6" s="34" t="s">
        <v>1406</v>
      </c>
    </row>
    <row r="7" spans="1:5">
      <c r="A7" s="30" t="s">
        <v>1409</v>
      </c>
      <c r="B7" s="30" t="s">
        <v>1410</v>
      </c>
      <c r="C7" s="30"/>
      <c r="E7" s="34" t="s">
        <v>1409</v>
      </c>
    </row>
    <row r="8" spans="1:5">
      <c r="A8" s="30" t="s">
        <v>1411</v>
      </c>
      <c r="B8" s="30" t="s">
        <v>1412</v>
      </c>
      <c r="C8" s="30"/>
      <c r="E8" s="34" t="s">
        <v>1411</v>
      </c>
    </row>
    <row r="9" spans="1:5">
      <c r="A9" s="30" t="s">
        <v>1413</v>
      </c>
      <c r="B9" s="30" t="s">
        <v>1414</v>
      </c>
      <c r="C9" s="30"/>
      <c r="E9" s="34" t="s">
        <v>1413</v>
      </c>
    </row>
    <row r="10" spans="1:5">
      <c r="A10" s="30" t="s">
        <v>341</v>
      </c>
      <c r="B10" s="30" t="s">
        <v>347</v>
      </c>
      <c r="C10" s="30"/>
      <c r="E10" s="34" t="s">
        <v>341</v>
      </c>
    </row>
    <row r="11" spans="1:5">
      <c r="A11" s="30" t="s">
        <v>1415</v>
      </c>
      <c r="B11" s="30" t="s">
        <v>1416</v>
      </c>
      <c r="C11" s="30" t="s">
        <v>1417</v>
      </c>
      <c r="E11" s="34" t="s">
        <v>1415</v>
      </c>
    </row>
    <row r="12" spans="1:5">
      <c r="A12" s="30" t="s">
        <v>1418</v>
      </c>
      <c r="B12" s="30" t="s">
        <v>1419</v>
      </c>
      <c r="C12" s="30" t="s">
        <v>1420</v>
      </c>
      <c r="E12" s="34" t="s">
        <v>1418</v>
      </c>
    </row>
    <row r="13" spans="1:5">
      <c r="A13" s="30" t="s">
        <v>1421</v>
      </c>
      <c r="B13" s="30" t="s">
        <v>1422</v>
      </c>
      <c r="C13" s="30" t="s">
        <v>1423</v>
      </c>
      <c r="E13" s="34" t="s">
        <v>1421</v>
      </c>
    </row>
    <row r="14" spans="1:5">
      <c r="A14" s="30" t="s">
        <v>1424</v>
      </c>
      <c r="B14" s="30" t="s">
        <v>1425</v>
      </c>
      <c r="C14" s="30" t="s">
        <v>1426</v>
      </c>
      <c r="E14" s="34" t="s">
        <v>1424</v>
      </c>
    </row>
    <row r="15" spans="1:5">
      <c r="A15" s="30" t="s">
        <v>1427</v>
      </c>
      <c r="B15" s="30" t="s">
        <v>1428</v>
      </c>
      <c r="C15" s="30" t="s">
        <v>1429</v>
      </c>
      <c r="E15" s="34" t="s">
        <v>1427</v>
      </c>
    </row>
    <row r="16" spans="1:5">
      <c r="A16" s="30" t="s">
        <v>1430</v>
      </c>
      <c r="B16" s="30" t="s">
        <v>1431</v>
      </c>
      <c r="C16" s="30" t="s">
        <v>1432</v>
      </c>
      <c r="E16" s="34" t="s">
        <v>1430</v>
      </c>
    </row>
    <row r="17" spans="1:5">
      <c r="A17" s="30" t="s">
        <v>410</v>
      </c>
      <c r="B17" s="30" t="s">
        <v>412</v>
      </c>
      <c r="C17" s="26"/>
      <c r="E17" s="34" t="s">
        <v>410</v>
      </c>
    </row>
    <row r="18" spans="1:5">
      <c r="A18" s="30" t="s">
        <v>450</v>
      </c>
      <c r="B18" s="30" t="s">
        <v>1433</v>
      </c>
      <c r="C18" s="26" t="s">
        <v>1434</v>
      </c>
      <c r="E18" s="34" t="s">
        <v>450</v>
      </c>
    </row>
    <row r="19" spans="1:5">
      <c r="A19" s="30" t="s">
        <v>439</v>
      </c>
      <c r="B19" s="30" t="s">
        <v>440</v>
      </c>
      <c r="C19" s="26" t="s">
        <v>1435</v>
      </c>
      <c r="E19" s="34" t="s">
        <v>439</v>
      </c>
    </row>
    <row r="20" spans="1:5">
      <c r="A20" s="30" t="s">
        <v>1436</v>
      </c>
      <c r="B20" s="30" t="s">
        <v>1437</v>
      </c>
      <c r="C20" s="26"/>
      <c r="E20" s="34" t="s">
        <v>1436</v>
      </c>
    </row>
    <row r="21" spans="1:5">
      <c r="A21" s="30" t="s">
        <v>1438</v>
      </c>
      <c r="B21" s="30" t="s">
        <v>1439</v>
      </c>
      <c r="C21" s="30" t="s">
        <v>1440</v>
      </c>
      <c r="E21" s="34" t="s">
        <v>1438</v>
      </c>
    </row>
    <row r="22" spans="1:5">
      <c r="A22" s="30" t="s">
        <v>1441</v>
      </c>
      <c r="B22" s="30" t="s">
        <v>1442</v>
      </c>
      <c r="C22" s="26"/>
      <c r="E22" s="34" t="s">
        <v>1441</v>
      </c>
    </row>
    <row r="23" spans="1:5" ht="24">
      <c r="A23" s="30" t="s">
        <v>1443</v>
      </c>
      <c r="B23" s="30" t="s">
        <v>1444</v>
      </c>
      <c r="C23" s="26" t="s">
        <v>1445</v>
      </c>
      <c r="E23" s="34" t="s">
        <v>1443</v>
      </c>
    </row>
    <row r="24" spans="1:5">
      <c r="A24" s="30" t="s">
        <v>1446</v>
      </c>
      <c r="B24" s="30" t="s">
        <v>1447</v>
      </c>
      <c r="C24" s="30" t="s">
        <v>1448</v>
      </c>
      <c r="E24" s="34" t="s">
        <v>1446</v>
      </c>
    </row>
    <row r="25" spans="1:5">
      <c r="A25" s="30" t="s">
        <v>1449</v>
      </c>
      <c r="B25" s="30" t="s">
        <v>1450</v>
      </c>
      <c r="C25" s="30"/>
      <c r="E25" s="34" t="s">
        <v>1449</v>
      </c>
    </row>
    <row r="26" spans="1:5">
      <c r="A26" s="30" t="s">
        <v>369</v>
      </c>
      <c r="B26" s="30" t="s">
        <v>371</v>
      </c>
      <c r="C26" s="26" t="s">
        <v>1451</v>
      </c>
      <c r="E26" s="34" t="s">
        <v>369</v>
      </c>
    </row>
    <row r="27" spans="1:5">
      <c r="A27" s="30" t="s">
        <v>373</v>
      </c>
      <c r="B27" s="30" t="s">
        <v>375</v>
      </c>
      <c r="C27" s="26" t="s">
        <v>1452</v>
      </c>
      <c r="E27" s="34" t="s">
        <v>373</v>
      </c>
    </row>
    <row r="28" spans="1:5">
      <c r="A28" s="30" t="s">
        <v>483</v>
      </c>
      <c r="B28" s="30" t="s">
        <v>484</v>
      </c>
      <c r="C28" s="26"/>
      <c r="E28" s="34" t="s">
        <v>483</v>
      </c>
    </row>
    <row r="29" spans="1:5">
      <c r="A29" s="30" t="s">
        <v>1453</v>
      </c>
      <c r="B29" s="30" t="s">
        <v>1454</v>
      </c>
      <c r="C29" s="26"/>
      <c r="E29" s="34" t="s">
        <v>1453</v>
      </c>
    </row>
    <row r="30" spans="1:5">
      <c r="A30" s="30" t="s">
        <v>1455</v>
      </c>
      <c r="B30" s="30" t="s">
        <v>1456</v>
      </c>
      <c r="C30" s="26"/>
      <c r="E30" s="34" t="s">
        <v>1455</v>
      </c>
    </row>
    <row r="31" spans="1:5" ht="48">
      <c r="A31" s="30" t="s">
        <v>1457</v>
      </c>
      <c r="B31" s="30" t="s">
        <v>1458</v>
      </c>
      <c r="C31" s="26" t="s">
        <v>1459</v>
      </c>
      <c r="E31" s="34" t="s">
        <v>1457</v>
      </c>
    </row>
    <row r="32" spans="1:5">
      <c r="A32" s="30" t="s">
        <v>1460</v>
      </c>
      <c r="B32" s="30" t="s">
        <v>1461</v>
      </c>
      <c r="C32" s="26"/>
      <c r="E32" s="34" t="s">
        <v>1460</v>
      </c>
    </row>
    <row r="33" spans="1:5">
      <c r="A33" s="30" t="s">
        <v>1462</v>
      </c>
      <c r="B33" s="30" t="s">
        <v>1463</v>
      </c>
      <c r="C33" s="26"/>
      <c r="E33" s="34" t="s">
        <v>1462</v>
      </c>
    </row>
    <row r="34" spans="1:5">
      <c r="A34" s="30" t="s">
        <v>1464</v>
      </c>
      <c r="B34" s="30" t="s">
        <v>1465</v>
      </c>
      <c r="C34" s="26" t="s">
        <v>1466</v>
      </c>
      <c r="E34" s="34" t="s">
        <v>1464</v>
      </c>
    </row>
    <row r="35" spans="1:5" ht="60">
      <c r="A35" s="30" t="s">
        <v>1467</v>
      </c>
      <c r="B35" s="30" t="s">
        <v>1468</v>
      </c>
      <c r="C35" s="26" t="s">
        <v>1469</v>
      </c>
      <c r="E35" s="34" t="s">
        <v>1467</v>
      </c>
    </row>
    <row r="36" spans="1:5">
      <c r="A36" s="30" t="s">
        <v>1470</v>
      </c>
      <c r="B36" s="30" t="s">
        <v>1471</v>
      </c>
      <c r="C36" s="26"/>
      <c r="E36" s="34" t="s">
        <v>1470</v>
      </c>
    </row>
    <row r="37" spans="1:5">
      <c r="A37" s="30" t="s">
        <v>1472</v>
      </c>
      <c r="B37" s="30" t="s">
        <v>1473</v>
      </c>
      <c r="C37" s="26"/>
      <c r="E37" s="34" t="s">
        <v>1472</v>
      </c>
    </row>
    <row r="38" spans="1:5">
      <c r="A38" s="26" t="s">
        <v>462</v>
      </c>
      <c r="B38" s="26" t="s">
        <v>464</v>
      </c>
      <c r="C38" s="26"/>
      <c r="E38" s="8" t="s">
        <v>462</v>
      </c>
    </row>
    <row r="39" spans="1:5" ht="24">
      <c r="A39" s="26" t="s">
        <v>1474</v>
      </c>
      <c r="B39" s="26" t="s">
        <v>1475</v>
      </c>
      <c r="C39" s="26" t="s">
        <v>1476</v>
      </c>
      <c r="E39" s="8" t="s">
        <v>1474</v>
      </c>
    </row>
    <row r="40" spans="1:5">
      <c r="A40" s="26" t="s">
        <v>1477</v>
      </c>
      <c r="B40" s="26" t="s">
        <v>1478</v>
      </c>
      <c r="C40" s="26"/>
      <c r="E40" s="8" t="s">
        <v>1477</v>
      </c>
    </row>
    <row r="41" spans="1:5">
      <c r="A41" s="26" t="s">
        <v>1479</v>
      </c>
      <c r="B41" s="26" t="s">
        <v>1480</v>
      </c>
      <c r="C41" s="26"/>
      <c r="E41" s="8" t="s">
        <v>1479</v>
      </c>
    </row>
    <row r="42" spans="1:5">
      <c r="A42" s="26" t="s">
        <v>1481</v>
      </c>
      <c r="B42" s="26" t="s">
        <v>1482</v>
      </c>
      <c r="C42" s="26"/>
      <c r="E42" s="8" t="s">
        <v>1481</v>
      </c>
    </row>
    <row r="43" spans="1:5">
      <c r="A43" s="26" t="s">
        <v>1483</v>
      </c>
      <c r="B43" s="26" t="s">
        <v>1484</v>
      </c>
      <c r="C43" s="26"/>
      <c r="E43" s="8" t="s">
        <v>1483</v>
      </c>
    </row>
    <row r="44" spans="1:5" ht="15.75">
      <c r="A44" s="211" t="s">
        <v>1485</v>
      </c>
      <c r="B44" s="211"/>
      <c r="C44" s="211"/>
      <c r="E44" s="8" t="s">
        <v>469</v>
      </c>
    </row>
    <row r="45" spans="1:5">
      <c r="A45" s="26" t="s">
        <v>1486</v>
      </c>
      <c r="B45" s="26" t="s">
        <v>1487</v>
      </c>
      <c r="C45" s="26" t="s">
        <v>1488</v>
      </c>
      <c r="E45" s="8"/>
    </row>
    <row r="46" spans="1:5" ht="36">
      <c r="A46" s="26" t="s">
        <v>469</v>
      </c>
      <c r="B46" s="26" t="s">
        <v>1489</v>
      </c>
      <c r="C46" s="26" t="s">
        <v>1490</v>
      </c>
      <c r="E46" s="8" t="s">
        <v>1491</v>
      </c>
    </row>
    <row r="47" spans="1:5">
      <c r="A47" s="26" t="s">
        <v>1491</v>
      </c>
      <c r="B47" s="26" t="s">
        <v>1492</v>
      </c>
      <c r="C47" s="26"/>
      <c r="E47" s="8" t="s">
        <v>1493</v>
      </c>
    </row>
    <row r="48" spans="1:5" ht="48">
      <c r="A48" s="26" t="s">
        <v>1493</v>
      </c>
      <c r="B48" s="26" t="s">
        <v>1494</v>
      </c>
      <c r="C48" s="26" t="s">
        <v>1495</v>
      </c>
      <c r="E48" s="8" t="s">
        <v>1496</v>
      </c>
    </row>
    <row r="49" spans="1:5">
      <c r="A49" s="26" t="s">
        <v>1496</v>
      </c>
      <c r="B49" s="26" t="s">
        <v>1497</v>
      </c>
      <c r="C49" s="26" t="s">
        <v>1498</v>
      </c>
      <c r="E49" s="8" t="s">
        <v>1499</v>
      </c>
    </row>
    <row r="50" spans="1:5" ht="24">
      <c r="A50" s="26" t="s">
        <v>1499</v>
      </c>
      <c r="B50" s="26" t="s">
        <v>1500</v>
      </c>
      <c r="C50" s="26" t="s">
        <v>1501</v>
      </c>
      <c r="E50" s="8" t="s">
        <v>1502</v>
      </c>
    </row>
    <row r="51" spans="1:5">
      <c r="A51" s="26" t="s">
        <v>1502</v>
      </c>
      <c r="B51" s="26" t="s">
        <v>1503</v>
      </c>
      <c r="C51" s="26" t="s">
        <v>1504</v>
      </c>
      <c r="E51" s="8" t="s">
        <v>1505</v>
      </c>
    </row>
    <row r="52" spans="1:5" ht="24">
      <c r="A52" s="26" t="s">
        <v>1505</v>
      </c>
      <c r="B52" s="26" t="s">
        <v>1506</v>
      </c>
      <c r="C52" s="26" t="s">
        <v>1507</v>
      </c>
      <c r="E52" s="8" t="s">
        <v>1508</v>
      </c>
    </row>
    <row r="53" spans="1:5">
      <c r="A53" s="26" t="s">
        <v>1508</v>
      </c>
      <c r="B53" s="26" t="s">
        <v>1509</v>
      </c>
      <c r="C53" s="26"/>
      <c r="E53" s="8" t="s">
        <v>1510</v>
      </c>
    </row>
    <row r="54" spans="1:5">
      <c r="A54" s="26" t="s">
        <v>1510</v>
      </c>
      <c r="B54" s="26" t="s">
        <v>1511</v>
      </c>
      <c r="C54" s="26"/>
      <c r="E54" s="8" t="s">
        <v>491</v>
      </c>
    </row>
    <row r="55" spans="1:5" ht="48">
      <c r="A55" s="26" t="s">
        <v>491</v>
      </c>
      <c r="B55" s="26" t="s">
        <v>493</v>
      </c>
      <c r="C55" s="26" t="s">
        <v>1512</v>
      </c>
      <c r="E55" s="8" t="s">
        <v>1513</v>
      </c>
    </row>
    <row r="56" spans="1:5">
      <c r="A56" s="26" t="s">
        <v>1513</v>
      </c>
      <c r="B56" s="26" t="s">
        <v>1514</v>
      </c>
      <c r="C56" s="26"/>
      <c r="E56" s="8" t="s">
        <v>1515</v>
      </c>
    </row>
    <row r="57" spans="1:5">
      <c r="A57" s="26" t="s">
        <v>1515</v>
      </c>
      <c r="B57" s="26" t="s">
        <v>1516</v>
      </c>
      <c r="C57" s="26" t="s">
        <v>1517</v>
      </c>
      <c r="E57" s="8" t="s">
        <v>1518</v>
      </c>
    </row>
    <row r="58" spans="1:5">
      <c r="A58" s="26" t="s">
        <v>1518</v>
      </c>
      <c r="B58" s="26" t="s">
        <v>1519</v>
      </c>
      <c r="C58" s="26"/>
      <c r="E58" s="8" t="s">
        <v>1520</v>
      </c>
    </row>
    <row r="59" spans="1:5" ht="48">
      <c r="A59" s="26" t="s">
        <v>1520</v>
      </c>
      <c r="B59" s="26" t="s">
        <v>1521</v>
      </c>
      <c r="C59" s="26" t="s">
        <v>1522</v>
      </c>
      <c r="E59" s="8" t="s">
        <v>377</v>
      </c>
    </row>
    <row r="60" spans="1:5" ht="24">
      <c r="A60" s="26" t="s">
        <v>377</v>
      </c>
      <c r="B60" s="26" t="s">
        <v>379</v>
      </c>
      <c r="C60" s="26" t="s">
        <v>1523</v>
      </c>
      <c r="E60" s="8" t="s">
        <v>1524</v>
      </c>
    </row>
    <row r="61" spans="1:5">
      <c r="A61" s="26" t="s">
        <v>1524</v>
      </c>
      <c r="B61" s="26" t="s">
        <v>1525</v>
      </c>
      <c r="C61" s="26"/>
      <c r="E61" s="8" t="s">
        <v>1526</v>
      </c>
    </row>
    <row r="62" spans="1:5" ht="24">
      <c r="A62" s="26" t="s">
        <v>1526</v>
      </c>
      <c r="B62" s="26" t="s">
        <v>1527</v>
      </c>
      <c r="C62" s="26" t="s">
        <v>1528</v>
      </c>
      <c r="E62" s="8" t="s">
        <v>1529</v>
      </c>
    </row>
    <row r="63" spans="1:5">
      <c r="A63" s="26" t="s">
        <v>1529</v>
      </c>
      <c r="B63" s="26" t="s">
        <v>1530</v>
      </c>
      <c r="C63" s="26"/>
      <c r="E63" s="8" t="s">
        <v>1531</v>
      </c>
    </row>
    <row r="64" spans="1:5">
      <c r="A64" s="26" t="s">
        <v>1531</v>
      </c>
      <c r="B64" s="26" t="s">
        <v>1532</v>
      </c>
      <c r="C64" s="26"/>
      <c r="E64" s="8" t="s">
        <v>1533</v>
      </c>
    </row>
    <row r="65" spans="1:5">
      <c r="A65" s="26" t="s">
        <v>1533</v>
      </c>
      <c r="B65" s="26" t="s">
        <v>1534</v>
      </c>
      <c r="C65" s="26"/>
      <c r="E65" s="8" t="s">
        <v>1535</v>
      </c>
    </row>
    <row r="66" spans="1:5">
      <c r="A66" s="26" t="s">
        <v>1535</v>
      </c>
      <c r="B66" s="26" t="s">
        <v>1536</v>
      </c>
      <c r="C66" s="26" t="s">
        <v>1537</v>
      </c>
      <c r="E66" s="8" t="s">
        <v>1538</v>
      </c>
    </row>
    <row r="67" spans="1:5">
      <c r="A67" s="26" t="s">
        <v>1538</v>
      </c>
      <c r="B67" s="26" t="s">
        <v>1539</v>
      </c>
      <c r="C67" s="26"/>
      <c r="E67" s="8" t="s">
        <v>1540</v>
      </c>
    </row>
    <row r="68" spans="1:5">
      <c r="A68" s="26" t="s">
        <v>1540</v>
      </c>
      <c r="B68" s="26" t="s">
        <v>1541</v>
      </c>
      <c r="C68" s="26"/>
      <c r="E68" s="8" t="s">
        <v>1542</v>
      </c>
    </row>
    <row r="69" spans="1:5" ht="60">
      <c r="A69" s="26" t="s">
        <v>1542</v>
      </c>
      <c r="B69" s="26" t="s">
        <v>1543</v>
      </c>
      <c r="C69" s="26" t="s">
        <v>1544</v>
      </c>
      <c r="E69" s="8" t="s">
        <v>1545</v>
      </c>
    </row>
    <row r="70" spans="1:5">
      <c r="A70" s="26" t="s">
        <v>1545</v>
      </c>
      <c r="B70" s="26" t="s">
        <v>1546</v>
      </c>
      <c r="C70" s="26"/>
      <c r="E70" s="8" t="s">
        <v>1547</v>
      </c>
    </row>
    <row r="71" spans="1:5">
      <c r="A71" s="26" t="s">
        <v>1547</v>
      </c>
      <c r="B71" s="26" t="s">
        <v>1548</v>
      </c>
      <c r="C71" s="26" t="s">
        <v>1549</v>
      </c>
      <c r="E71" s="8" t="s">
        <v>1550</v>
      </c>
    </row>
    <row r="72" spans="1:5">
      <c r="A72" s="26" t="s">
        <v>1550</v>
      </c>
      <c r="B72" s="26" t="s">
        <v>1551</v>
      </c>
      <c r="C72" s="26" t="s">
        <v>1552</v>
      </c>
      <c r="E72" s="8" t="s">
        <v>1406</v>
      </c>
    </row>
    <row r="73" spans="1:5" ht="15.75">
      <c r="A73" s="210" t="s">
        <v>1553</v>
      </c>
      <c r="B73" s="210"/>
      <c r="C73" s="210"/>
      <c r="E73" s="8" t="s">
        <v>1554</v>
      </c>
    </row>
    <row r="74" spans="1:5">
      <c r="A74" s="26" t="s">
        <v>1406</v>
      </c>
      <c r="B74" s="26" t="s">
        <v>1407</v>
      </c>
      <c r="C74" s="26" t="s">
        <v>1555</v>
      </c>
      <c r="E74" s="8" t="s">
        <v>1556</v>
      </c>
    </row>
    <row r="75" spans="1:5">
      <c r="A75" s="26" t="s">
        <v>1554</v>
      </c>
      <c r="B75" s="26" t="s">
        <v>1557</v>
      </c>
      <c r="C75" s="26" t="s">
        <v>1558</v>
      </c>
      <c r="E75" s="8" t="s">
        <v>1430</v>
      </c>
    </row>
    <row r="76" spans="1:5">
      <c r="A76" s="26" t="s">
        <v>1556</v>
      </c>
      <c r="B76" s="26" t="s">
        <v>1559</v>
      </c>
      <c r="C76" s="26"/>
      <c r="E76" s="8" t="s">
        <v>1560</v>
      </c>
    </row>
    <row r="77" spans="1:5">
      <c r="A77" s="26" t="s">
        <v>1430</v>
      </c>
      <c r="B77" s="26" t="s">
        <v>1431</v>
      </c>
      <c r="C77" s="26" t="s">
        <v>1561</v>
      </c>
      <c r="E77" s="8" t="s">
        <v>1562</v>
      </c>
    </row>
    <row r="78" spans="1:5" ht="36">
      <c r="A78" s="26" t="s">
        <v>1560</v>
      </c>
      <c r="B78" s="26" t="s">
        <v>1563</v>
      </c>
      <c r="C78" s="26" t="s">
        <v>1564</v>
      </c>
      <c r="E78" s="8" t="s">
        <v>352</v>
      </c>
    </row>
    <row r="79" spans="1:5">
      <c r="A79" s="26" t="s">
        <v>1562</v>
      </c>
      <c r="B79" s="26" t="s">
        <v>1565</v>
      </c>
      <c r="C79" s="26" t="s">
        <v>1566</v>
      </c>
      <c r="E79" s="8" t="s">
        <v>1567</v>
      </c>
    </row>
    <row r="80" spans="1:5">
      <c r="A80" s="26" t="s">
        <v>352</v>
      </c>
      <c r="B80" s="26" t="s">
        <v>354</v>
      </c>
      <c r="C80" s="26" t="s">
        <v>1568</v>
      </c>
      <c r="E80" s="8" t="s">
        <v>1569</v>
      </c>
    </row>
    <row r="81" spans="1:5">
      <c r="A81" s="26" t="s">
        <v>1567</v>
      </c>
      <c r="B81" s="26" t="s">
        <v>1570</v>
      </c>
      <c r="C81" s="26"/>
      <c r="E81" s="8" t="s">
        <v>360</v>
      </c>
    </row>
    <row r="82" spans="1:5">
      <c r="A82" s="26" t="s">
        <v>1569</v>
      </c>
      <c r="B82" s="26" t="s">
        <v>1571</v>
      </c>
      <c r="C82" s="26" t="s">
        <v>1572</v>
      </c>
      <c r="E82" s="8" t="s">
        <v>1573</v>
      </c>
    </row>
    <row r="83" spans="1:5">
      <c r="A83" s="26" t="s">
        <v>360</v>
      </c>
      <c r="B83" s="26" t="s">
        <v>1574</v>
      </c>
      <c r="C83" s="26" t="s">
        <v>1575</v>
      </c>
      <c r="E83" s="8" t="s">
        <v>1576</v>
      </c>
    </row>
    <row r="84" spans="1:5">
      <c r="A84" s="26" t="s">
        <v>1573</v>
      </c>
      <c r="B84" s="26" t="s">
        <v>1577</v>
      </c>
      <c r="C84" s="26" t="s">
        <v>1578</v>
      </c>
      <c r="E84" s="8" t="s">
        <v>1579</v>
      </c>
    </row>
    <row r="85" spans="1:5">
      <c r="A85" s="26" t="s">
        <v>1576</v>
      </c>
      <c r="B85" s="26" t="s">
        <v>1580</v>
      </c>
      <c r="C85" s="26"/>
      <c r="E85" s="8" t="s">
        <v>442</v>
      </c>
    </row>
    <row r="86" spans="1:5">
      <c r="A86" s="26" t="s">
        <v>1579</v>
      </c>
      <c r="B86" s="26" t="s">
        <v>1581</v>
      </c>
      <c r="C86" s="26" t="s">
        <v>1582</v>
      </c>
      <c r="E86" s="8" t="s">
        <v>1583</v>
      </c>
    </row>
    <row r="87" spans="1:5">
      <c r="A87" s="26" t="s">
        <v>442</v>
      </c>
      <c r="B87" s="26" t="s">
        <v>445</v>
      </c>
      <c r="C87" s="26" t="s">
        <v>1584</v>
      </c>
      <c r="E87" s="8" t="s">
        <v>1585</v>
      </c>
    </row>
    <row r="88" spans="1:5">
      <c r="A88" s="26" t="s">
        <v>1583</v>
      </c>
      <c r="B88" s="26" t="s">
        <v>1586</v>
      </c>
      <c r="C88" s="26"/>
      <c r="E88" s="8" t="s">
        <v>1587</v>
      </c>
    </row>
    <row r="89" spans="1:5">
      <c r="A89" s="26" t="s">
        <v>1585</v>
      </c>
      <c r="B89" s="26" t="s">
        <v>1588</v>
      </c>
      <c r="C89" s="26"/>
      <c r="E89" s="8" t="s">
        <v>469</v>
      </c>
    </row>
    <row r="90" spans="1:5">
      <c r="A90" s="26" t="s">
        <v>1587</v>
      </c>
      <c r="B90" s="26" t="s">
        <v>1589</v>
      </c>
      <c r="C90" s="26"/>
      <c r="E90" s="8" t="s">
        <v>1590</v>
      </c>
    </row>
    <row r="91" spans="1:5">
      <c r="A91" s="26" t="s">
        <v>469</v>
      </c>
      <c r="B91" s="26" t="s">
        <v>1489</v>
      </c>
      <c r="C91" s="26" t="s">
        <v>1591</v>
      </c>
      <c r="E91" s="8" t="s">
        <v>1592</v>
      </c>
    </row>
    <row r="92" spans="1:5">
      <c r="A92" s="26" t="s">
        <v>1590</v>
      </c>
      <c r="B92" s="26" t="s">
        <v>1593</v>
      </c>
      <c r="C92" s="26" t="s">
        <v>1594</v>
      </c>
      <c r="E92" s="8" t="s">
        <v>1595</v>
      </c>
    </row>
    <row r="93" spans="1:5">
      <c r="A93" s="26" t="s">
        <v>1592</v>
      </c>
      <c r="B93" s="26" t="s">
        <v>1596</v>
      </c>
      <c r="C93" s="26" t="s">
        <v>1597</v>
      </c>
      <c r="E93" s="8" t="s">
        <v>1598</v>
      </c>
    </row>
    <row r="94" spans="1:5">
      <c r="A94" s="26" t="s">
        <v>1595</v>
      </c>
      <c r="B94" s="26" t="s">
        <v>1599</v>
      </c>
      <c r="C94" s="26" t="s">
        <v>1600</v>
      </c>
      <c r="E94" s="8" t="s">
        <v>1601</v>
      </c>
    </row>
    <row r="95" spans="1:5" ht="84">
      <c r="A95" s="26" t="s">
        <v>1598</v>
      </c>
      <c r="B95" s="26" t="s">
        <v>1602</v>
      </c>
      <c r="C95" s="26" t="s">
        <v>1603</v>
      </c>
      <c r="E95" s="8" t="s">
        <v>456</v>
      </c>
    </row>
    <row r="96" spans="1:5">
      <c r="A96" s="26" t="s">
        <v>1601</v>
      </c>
      <c r="B96" s="26" t="s">
        <v>1604</v>
      </c>
      <c r="C96" s="26" t="s">
        <v>1605</v>
      </c>
      <c r="E96" s="8" t="s">
        <v>380</v>
      </c>
    </row>
    <row r="97" spans="1:5">
      <c r="A97" s="26" t="s">
        <v>456</v>
      </c>
      <c r="B97" s="26" t="s">
        <v>458</v>
      </c>
      <c r="C97" s="26" t="s">
        <v>1606</v>
      </c>
      <c r="E97" s="8" t="s">
        <v>1526</v>
      </c>
    </row>
    <row r="98" spans="1:5">
      <c r="A98" s="26" t="s">
        <v>380</v>
      </c>
      <c r="B98" s="26" t="s">
        <v>382</v>
      </c>
      <c r="C98" s="26" t="s">
        <v>1607</v>
      </c>
      <c r="E98" s="8" t="s">
        <v>1608</v>
      </c>
    </row>
    <row r="99" spans="1:5" ht="24">
      <c r="A99" s="26" t="s">
        <v>1526</v>
      </c>
      <c r="B99" s="26" t="s">
        <v>1609</v>
      </c>
      <c r="C99" s="26" t="s">
        <v>1610</v>
      </c>
    </row>
    <row r="100" spans="1:5">
      <c r="A100" s="26" t="s">
        <v>1608</v>
      </c>
      <c r="B100" s="26" t="s">
        <v>1611</v>
      </c>
      <c r="C100" s="26"/>
    </row>
  </sheetData>
  <mergeCells count="4">
    <mergeCell ref="A73:C73"/>
    <mergeCell ref="A44:C44"/>
    <mergeCell ref="A1:C2"/>
    <mergeCell ref="A4:C4"/>
  </mergeCells>
  <pageMargins left="0.7" right="0.7" top="0.75" bottom="0.75" header="0.3" footer="0.3"/>
  <pageSetup paperSize="9" scale="9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AB86113E65594F894A045B48260049" ma:contentTypeVersion="3" ma:contentTypeDescription="Create a new document." ma:contentTypeScope="" ma:versionID="b437d44b1a99bcd74a15a5caa55a60ef">
  <xsd:schema xmlns:xsd="http://www.w3.org/2001/XMLSchema" xmlns:xs="http://www.w3.org/2001/XMLSchema" xmlns:p="http://schemas.microsoft.com/office/2006/metadata/properties" xmlns:ns2="2ef2cd86-4956-4af0-b151-e9876f2c3ea3" targetNamespace="http://schemas.microsoft.com/office/2006/metadata/properties" ma:root="true" ma:fieldsID="71db9b97304291e337dcbc756f7f2918" ns2:_="">
    <xsd:import namespace="2ef2cd86-4956-4af0-b151-e9876f2c3ea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f2cd86-4956-4af0-b151-e9876f2c3e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635725-B529-477C-8CB1-C00984FB8479}"/>
</file>

<file path=customXml/itemProps2.xml><?xml version="1.0" encoding="utf-8"?>
<ds:datastoreItem xmlns:ds="http://schemas.openxmlformats.org/officeDocument/2006/customXml" ds:itemID="{A878A22F-8FEE-4261-B2F2-5FFD20D63DC2}"/>
</file>

<file path=customXml/itemProps3.xml><?xml version="1.0" encoding="utf-8"?>
<ds:datastoreItem xmlns:ds="http://schemas.openxmlformats.org/officeDocument/2006/customXml" ds:itemID="{A74A7997-ACA1-403A-AC89-CAF970FB6E8A}"/>
</file>

<file path=docMetadata/LabelInfo.xml><?xml version="1.0" encoding="utf-8"?>
<clbl:labelList xmlns:clbl="http://schemas.microsoft.com/office/2020/mipLabelMetadata">
  <clbl:label id="{5939f824-8436-4eab-b13d-762196834ff0}" enabled="0" method="" siteId="{5939f824-8436-4eab-b13d-762196834ff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Anja Mulder-Rous</dc:creator>
  <cp:keywords/>
  <dc:description/>
  <cp:lastModifiedBy>DCC Psiec</cp:lastModifiedBy>
  <cp:revision/>
  <dcterms:created xsi:type="dcterms:W3CDTF">2024-07-28T21:17:18Z</dcterms:created>
  <dcterms:modified xsi:type="dcterms:W3CDTF">2026-06-09T06:24:05Z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0x0101007FAB86113E65594F894A045B48260049</vt:lpwstr>
  </property>
  <property fmtid="{D5CDD505-2E9C-101B-9397-08002B2CF9AE}" pid="3" name="Order">
    <vt:r8>8100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ies>
</file>