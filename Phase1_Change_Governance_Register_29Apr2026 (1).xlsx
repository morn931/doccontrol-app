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mornec\Downloads\"/>
    </mc:Choice>
  </mc:AlternateContent>
  <xr:revisionPtr revIDLastSave="0" documentId="8_{E7868136-1C7F-406F-A920-B9154710932F}" xr6:coauthVersionLast="47" xr6:coauthVersionMax="47" xr10:uidLastSave="{00000000-0000-0000-0000-000000000000}"/>
  <bookViews>
    <workbookView xWindow="28680" yWindow="-120" windowWidth="29040" windowHeight="15720" firstSheet="6" activeTab="6" xr2:uid="{00000000-000D-0000-FFFF-FFFF00000000}"/>
  </bookViews>
  <sheets>
    <sheet name="Waterfall_Auto" sheetId="1" r:id="rId1"/>
    <sheet name="Waterfall_Client_Auto" sheetId="2" r:id="rId2"/>
    <sheet name="View_1_Approved_This_Month" sheetId="3" r:id="rId3"/>
    <sheet name="View_2_Approved_To_Date" sheetId="4" r:id="rId4"/>
    <sheet name="View_3_Forecast_Components" sheetId="5" r:id="rId5"/>
    <sheet name="Waterfall_Client_Format" sheetId="7" r:id="rId6"/>
    <sheet name="Dashboard_Executive" sheetId="6" r:id="rId7"/>
    <sheet name="Dashboard_EP_CM" sheetId="8" r:id="rId8"/>
    <sheet name="Dashboard_Vendors" sheetId="9" r:id="rId9"/>
    <sheet name="tbl_ChangeRegister" sheetId="10" r:id="rId10"/>
    <sheet name="tbl_RiskRegister" sheetId="11" r:id="rId11"/>
    <sheet name="tbl_ScheduleImpact" sheetId="12" r:id="rId12"/>
    <sheet name="ForecastIntegration" sheetId="13" r:id="rId13"/>
    <sheet name="tbl_Snapshot_Log" sheetId="14" r:id="rId14"/>
    <sheet name="Lists" sheetId="15" r:id="rId15"/>
    <sheet name="Sheet3" sheetId="16" r:id="rId16"/>
    <sheet name="Update_Assumptions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<sst xmlns="http://schemas.openxmlformats.org/spreadsheetml/2006/main" count="1314" uniqueCount="376">
  <si>
    <t>Step</t>
  </si>
  <si>
    <t>Amount</t>
  </si>
  <si>
    <t>Running Position</t>
  </si>
  <si>
    <t>Section</t>
  </si>
  <si>
    <t>Baseline Budget</t>
  </si>
  <si>
    <t>Total</t>
  </si>
  <si>
    <t>Approved Changes</t>
  </si>
  <si>
    <t>Approved</t>
  </si>
  <si>
    <t>Pending Approval</t>
  </si>
  <si>
    <t>Pending</t>
  </si>
  <si>
    <t>Forecast / Trends</t>
  </si>
  <si>
    <t>Trend</t>
  </si>
  <si>
    <t>Projected Final Position</t>
  </si>
  <si>
    <t>Phase 1 Change Waterfall – Client Format</t>
  </si>
  <si>
    <t>Board-ready staging of budget movement: baseline → approved changes → pending approval → forecast trends → projected final position.</t>
  </si>
  <si>
    <t>Baseline budget</t>
  </si>
  <si>
    <t>Approved changes</t>
  </si>
  <si>
    <t>Pending approval</t>
  </si>
  <si>
    <t>Forecast / trends</t>
  </si>
  <si>
    <t>Projected position</t>
  </si>
  <si>
    <t>Reporting cutoff</t>
  </si>
  <si>
    <t>#</t>
  </si>
  <si>
    <t>Change Ref</t>
  </si>
  <si>
    <t>Description</t>
  </si>
  <si>
    <t>Amount (ML)</t>
  </si>
  <si>
    <t>Chart Label</t>
  </si>
  <si>
    <t>Base</t>
  </si>
  <si>
    <t>Increase</t>
  </si>
  <si>
    <t>Decrease</t>
  </si>
  <si>
    <t>Column1</t>
  </si>
  <si>
    <t>Column2</t>
  </si>
  <si>
    <t>Label</t>
  </si>
  <si>
    <t>Value</t>
  </si>
  <si>
    <t>Original Budget</t>
  </si>
  <si>
    <t>Baseline</t>
  </si>
  <si>
    <t>Approved: PDN-B9RD-B0015</t>
  </si>
  <si>
    <t>PDN-B9RD-B0015</t>
  </si>
  <si>
    <t>Budget increase request due to price increase (Commitment is higher than allocated budget).</t>
  </si>
  <si>
    <t>Approved: PDN-B9RD-B0003</t>
  </si>
  <si>
    <t>PDN-B9RD-B0003</t>
  </si>
  <si>
    <t>Additional scope to PPE Agreement under Scope of Services and Contract Price (K124)</t>
  </si>
  <si>
    <t>Approved: B9RD-PDN-PPET0001</t>
  </si>
  <si>
    <t>B9RD-PDN-PPET0001</t>
  </si>
  <si>
    <t>Variation in FS costing from Lycopodium to execution costing received by the Vendor, PSI</t>
  </si>
  <si>
    <t>Approved: B9DW-PDN-SMEG0001</t>
  </si>
  <si>
    <t>B9DW-PDN-SMEG0001</t>
  </si>
  <si>
    <t>Additional Circuit Breaker, Isolator &amp; Line Alteration</t>
  </si>
  <si>
    <t>Balance after Approved</t>
  </si>
  <si>
    <t>Subtotal</t>
  </si>
  <si>
    <t>Baseline plus approved changes</t>
  </si>
  <si>
    <t>Pending: B9RD-PDN-ABB0001</t>
  </si>
  <si>
    <t>B9RD-PDN-ABB0001</t>
  </si>
  <si>
    <t>Early Mining Volume Discount</t>
  </si>
  <si>
    <t>Pending: B9RD-PDN-ABB0002</t>
  </si>
  <si>
    <t>B9RD-PDN-ABB0002</t>
  </si>
  <si>
    <t>Addition of DeapSea Controller in the 11 kV AIS switchgear</t>
  </si>
  <si>
    <t>Pending: B9RD-PDN-ABB0003</t>
  </si>
  <si>
    <t>B9RD-PDN-ABB0003</t>
  </si>
  <si>
    <t>Fire Detection Design Specification fire alarm central unit - brand ADVANCED.</t>
  </si>
  <si>
    <t>Pending: B9RD-PDN-ABB0004</t>
  </si>
  <si>
    <t>B9RD-PDN-ABB0004</t>
  </si>
  <si>
    <t>Additional 11kV Current Transformers (Bushing Mounted)</t>
  </si>
  <si>
    <t>Pending: B9RD-PDN-ABB0008</t>
  </si>
  <si>
    <t>B9RD-PDN-ABB0008</t>
  </si>
  <si>
    <t>New Site conditions / New seismic requirements</t>
  </si>
  <si>
    <t>Pending: B9RD-PDN-ABB0005</t>
  </si>
  <si>
    <t>B9RD-PDN-ABB0005</t>
  </si>
  <si>
    <t>Additional 3 x RMUs to be designed and delivered</t>
  </si>
  <si>
    <t>Pending: B9RD-PDN-ABB0006</t>
  </si>
  <si>
    <t>B9RD-PDN-ABB0006</t>
  </si>
  <si>
    <t>Aux transformer removal</t>
  </si>
  <si>
    <t>Pending: B9RD-PDN-ABB0009</t>
  </si>
  <si>
    <t>B9RD-PDN-ABB0009</t>
  </si>
  <si>
    <t>Fluor Fire Detection and Suppression Design Criteria</t>
  </si>
  <si>
    <t>Pending: B9RD-PDN-ABB0010</t>
  </si>
  <si>
    <t>B9RD-PDN-ABB0010</t>
  </si>
  <si>
    <t>Additional COMM panels</t>
  </si>
  <si>
    <t>Pending: B9RD-PDN-ABB0012</t>
  </si>
  <si>
    <t>B9RD-PDN-ABB0012</t>
  </si>
  <si>
    <t>Table of contents / Client Instruction requirement</t>
  </si>
  <si>
    <t>Pending: B9RD-PDN-ABB0013</t>
  </si>
  <si>
    <t>B9RD-PDN-ABB0013</t>
  </si>
  <si>
    <t>Table of contents / Synchronous Condensers</t>
  </si>
  <si>
    <t>Pending: B9RD-PDN-ABB0014</t>
  </si>
  <si>
    <t>B9RD-PDN-ABB0014</t>
  </si>
  <si>
    <t>Changes in existing kiosks and addition of one kiosk / design change as per revised SLD</t>
  </si>
  <si>
    <t>Pending: B9RD-PDN-ABB0015</t>
  </si>
  <si>
    <t>B9RD-PDN-ABB0015</t>
  </si>
  <si>
    <t>Switches at MV switchgear</t>
  </si>
  <si>
    <t>Pending: B9RD-PDN-ABB0016</t>
  </si>
  <si>
    <t>B9RD-PDN-ABB0016</t>
  </si>
  <si>
    <t>Changes in MV switchgear</t>
  </si>
  <si>
    <t>Pending: B9RD-PDN-ABB0007</t>
  </si>
  <si>
    <t>B9RD-PDN-ABB0007</t>
  </si>
  <si>
    <t>Volume discount</t>
  </si>
  <si>
    <t>Pending: B9RD-PDN-PPET0002</t>
  </si>
  <si>
    <t>B9RD-PDN-PPET0002</t>
  </si>
  <si>
    <t>Shifting of budget from E101 to E113. Costing not allocated in FS for the E103 Bulk Fuel tanks</t>
  </si>
  <si>
    <t>Pending: 6105AK124-0000-BREQ-0002_Rev 2_02.02.2026</t>
  </si>
  <si>
    <t>6105AK124-0000-BREQ-0002_Rev 2_02.02.2026</t>
  </si>
  <si>
    <t>Additional Scope</t>
  </si>
  <si>
    <t>Pending: 6105AK124-0000-BREQ-0</t>
  </si>
  <si>
    <t>Balance incl. Pending</t>
  </si>
  <si>
    <t>Position after approved and pending changes</t>
  </si>
  <si>
    <t>Trend: PPET-PTN-000001</t>
  </si>
  <si>
    <t>Forecast / trend</t>
  </si>
  <si>
    <t>PPET-PTN-000001</t>
  </si>
  <si>
    <t>WBS 5600-Water Services Fluor addition of scope request. Scope gap from transition of FS EPCM to Fluor</t>
  </si>
  <si>
    <t>Trend: Trend to be raised [K138-1]</t>
  </si>
  <si>
    <t>Trend to be raised</t>
  </si>
  <si>
    <t>Additional scope</t>
  </si>
  <si>
    <t>Trend: Trend to be raised [K13</t>
  </si>
  <si>
    <t>Trend: Trend to be raised [K138-2]</t>
  </si>
  <si>
    <t>Additional BOP / final forecast exposure</t>
  </si>
  <si>
    <t>Baseline plus approved, pending and trend items</t>
  </si>
  <si>
    <t>ChangeID</t>
  </si>
  <si>
    <t>Programme</t>
  </si>
  <si>
    <t>Package</t>
  </si>
  <si>
    <t>Vendor</t>
  </si>
  <si>
    <t>Status</t>
  </si>
  <si>
    <t>DateApproved</t>
  </si>
  <si>
    <t>CostMostLikely</t>
  </si>
  <si>
    <t>ForecastCategory</t>
  </si>
  <si>
    <t>Owner</t>
  </si>
  <si>
    <t>LastReviewed</t>
  </si>
  <si>
    <t>IncludedInForecast</t>
  </si>
  <si>
    <t>Notes</t>
  </si>
  <si>
    <t>EP</t>
  </si>
  <si>
    <t>E102</t>
  </si>
  <si>
    <t>ABB</t>
  </si>
  <si>
    <t>EP Package Manager</t>
  </si>
  <si>
    <t>Approved to date / latest Master PDN update</t>
  </si>
  <si>
    <t>K124A</t>
  </si>
  <si>
    <t>PPE Tech</t>
  </si>
  <si>
    <t>K137</t>
  </si>
  <si>
    <t>PSI</t>
  </si>
  <si>
    <t>Submitted</t>
  </si>
  <si>
    <t>K125</t>
  </si>
  <si>
    <t>Siemens</t>
  </si>
  <si>
    <t>Row Labels</t>
  </si>
  <si>
    <t>Count of ChangeID</t>
  </si>
  <si>
    <t>Sum of CostMostLikely</t>
  </si>
  <si>
    <t>Sum of ScheduleImpactDays</t>
  </si>
  <si>
    <t>46141</t>
  </si>
  <si>
    <t>Grand Total</t>
  </si>
  <si>
    <t>Metric</t>
  </si>
  <si>
    <t>Approved Count</t>
  </si>
  <si>
    <t>Approved Value</t>
  </si>
  <si>
    <t>Reporting Cutoff</t>
  </si>
  <si>
    <t>PDN-B9RD-B0015 moved from pending/submitted to approved based on latest master list.</t>
  </si>
  <si>
    <t>Count</t>
  </si>
  <si>
    <t>CostLow (Sum)</t>
  </si>
  <si>
    <t>CostMostLikely (Sum)</t>
  </si>
  <si>
    <t>CostHigh (Sum)</t>
  </si>
  <si>
    <t>ScheduleImpactDays (Sum)</t>
  </si>
  <si>
    <t>Scope</t>
  </si>
  <si>
    <t>true</t>
  </si>
  <si>
    <t>Commercial</t>
  </si>
  <si>
    <t>Technical</t>
  </si>
  <si>
    <t>E511B</t>
  </si>
  <si>
    <t>E113</t>
  </si>
  <si>
    <t>Fuelco</t>
  </si>
  <si>
    <t>Contingent</t>
  </si>
  <si>
    <t>Trend to be raised [K138-1]</t>
  </si>
  <si>
    <t>K138</t>
  </si>
  <si>
    <t>Trend to be raised [K138-2]</t>
  </si>
  <si>
    <t>BOP</t>
  </si>
  <si>
    <t>All Packages combined</t>
  </si>
  <si>
    <t>Approved Change (ML)</t>
  </si>
  <si>
    <t>Pending Included (ML)</t>
  </si>
  <si>
    <t>Trend Exposure (ML)</t>
  </si>
  <si>
    <t>Total Exposure (ML)</t>
  </si>
  <si>
    <t>Critical Path Count</t>
  </si>
  <si>
    <t>% of Baseline</t>
  </si>
  <si>
    <t>% of Contingency</t>
  </si>
  <si>
    <t>Contingency Remaining</t>
  </si>
  <si>
    <t>Total Logged Changes</t>
  </si>
  <si>
    <t>Submitted Count</t>
  </si>
  <si>
    <t>Trend Count</t>
  </si>
  <si>
    <t>Included in Forecast</t>
  </si>
  <si>
    <t>Dashboard updated to reflect the latest Master PDN List as at 29 April 2026.</t>
  </si>
  <si>
    <t>Total Active</t>
  </si>
  <si>
    <t>PDN</t>
  </si>
  <si>
    <t>Schedule</t>
  </si>
  <si>
    <t>Other / Blank</t>
  </si>
  <si>
    <t>Exposure</t>
  </si>
  <si>
    <t>Included Forecast Count</t>
  </si>
  <si>
    <t>CM</t>
  </si>
  <si>
    <t>Included Count</t>
  </si>
  <si>
    <t>SourceDocumentType</t>
  </si>
  <si>
    <t>SourceDocumentRef</t>
  </si>
  <si>
    <t>Origin</t>
  </si>
  <si>
    <t>ChangeType</t>
  </si>
  <si>
    <t>DateIdentified</t>
  </si>
  <si>
    <t>DateSubmitted</t>
  </si>
  <si>
    <t>CostLow</t>
  </si>
  <si>
    <t>CostHigh</t>
  </si>
  <si>
    <t>ScheduleImpactDays</t>
  </si>
  <si>
    <t>CriticalPathImpact</t>
  </si>
  <si>
    <t>MilestoneAffected</t>
  </si>
  <si>
    <t>GateImpact</t>
  </si>
  <si>
    <t>LinkedRiskID</t>
  </si>
  <si>
    <t>AgeDays</t>
  </si>
  <si>
    <t>ActiveFlag</t>
  </si>
  <si>
    <t>RSK-E102-001</t>
  </si>
  <si>
    <t>RSK-E511B-001</t>
  </si>
  <si>
    <t>RSK-E511B-002</t>
  </si>
  <si>
    <t>RSK-E511B-003</t>
  </si>
  <si>
    <t>RSK-E511B-004</t>
  </si>
  <si>
    <t>RSK-E102-002</t>
  </si>
  <si>
    <t>RSK-E102-003</t>
  </si>
  <si>
    <t>RSK-E511B-005</t>
  </si>
  <si>
    <t>RSK-E511B-006</t>
  </si>
  <si>
    <t>RSK-E511B-007</t>
  </si>
  <si>
    <t>RSK-E511B-008</t>
  </si>
  <si>
    <t>RSK-E102-004</t>
  </si>
  <si>
    <t>RSK-E511B-009</t>
  </si>
  <si>
    <t>RSK-E511B-010</t>
  </si>
  <si>
    <t>RSK-E511B-011</t>
  </si>
  <si>
    <t>RSK-E102-005</t>
  </si>
  <si>
    <t>Client</t>
  </si>
  <si>
    <t>RSK-E113-001</t>
  </si>
  <si>
    <t>RSK-K124A-001</t>
  </si>
  <si>
    <t>BREQ</t>
  </si>
  <si>
    <t>RSK-K124A-002</t>
  </si>
  <si>
    <t>PTN</t>
  </si>
  <si>
    <t>RSK-K124A-003</t>
  </si>
  <si>
    <t>RSK-K138-001</t>
  </si>
  <si>
    <t>RSK-K137-001</t>
  </si>
  <si>
    <t>RSK-K125-001</t>
  </si>
  <si>
    <t>RSK-K138-002</t>
  </si>
  <si>
    <t>RiskID</t>
  </si>
  <si>
    <t>LinkedChangeID</t>
  </si>
  <si>
    <t>RiskCategory</t>
  </si>
  <si>
    <t>Probability</t>
  </si>
  <si>
    <t>ImpactValue</t>
  </si>
  <si>
    <t>MitigationStatus</t>
  </si>
  <si>
    <t>EscalationLevel</t>
  </si>
  <si>
    <t>High</t>
  </si>
  <si>
    <t>Open</t>
  </si>
  <si>
    <t>Medium</t>
  </si>
  <si>
    <t>Low</t>
  </si>
  <si>
    <t>Closed</t>
  </si>
  <si>
    <t>ActivityID</t>
  </si>
  <si>
    <t>FloatBefore</t>
  </si>
  <si>
    <t>FloatAfter</t>
  </si>
  <si>
    <t>CPImpactFlag</t>
  </si>
  <si>
    <t>RecoveryAction</t>
  </si>
  <si>
    <t>TBC-PLN</t>
  </si>
  <si>
    <t>No schedule impact currently logged</t>
  </si>
  <si>
    <t>BaselineValue</t>
  </si>
  <si>
    <t>ContingencyValue</t>
  </si>
  <si>
    <t>ReportingCutoffDate</t>
  </si>
  <si>
    <t>Calculated Outputs</t>
  </si>
  <si>
    <t>ApprovedTotal_ML</t>
  </si>
  <si>
    <t>PendingTotal_ML_Included</t>
  </si>
  <si>
    <t>TrendTotal_ML</t>
  </si>
  <si>
    <t>TotalExposure_ML</t>
  </si>
  <si>
    <t>CriticalPathCount</t>
  </si>
  <si>
    <t>%OfBaseline_Exposure</t>
  </si>
  <si>
    <t>%OfContingency_Exposure</t>
  </si>
  <si>
    <t>ContingencyRemaining</t>
  </si>
  <si>
    <t>TotalActiveChanges</t>
  </si>
  <si>
    <t>ApprovedCount</t>
  </si>
  <si>
    <t>SubmittedCount</t>
  </si>
  <si>
    <t>TrendCount</t>
  </si>
  <si>
    <t>RFICount</t>
  </si>
  <si>
    <t>ROCCount</t>
  </si>
  <si>
    <t>PCNCount</t>
  </si>
  <si>
    <t>TechnicalSubmissionCount</t>
  </si>
  <si>
    <t>SnapshotDate</t>
  </si>
  <si>
    <t>Auto snapshot for demo</t>
  </si>
  <si>
    <t>Packages</t>
  </si>
  <si>
    <t>UniqueIdentifier</t>
  </si>
  <si>
    <t>PackageDescription</t>
  </si>
  <si>
    <t>VendorName</t>
  </si>
  <si>
    <t>DocType</t>
  </si>
  <si>
    <t>Vendors</t>
  </si>
  <si>
    <t>TRUE_FALSE</t>
  </si>
  <si>
    <t>K124</t>
  </si>
  <si>
    <t>RDMC-Phase 1, E, C &amp; I EPM</t>
  </si>
  <si>
    <t>RFI</t>
  </si>
  <si>
    <t>TBC</t>
  </si>
  <si>
    <t>Engineering</t>
  </si>
  <si>
    <t>Gate 0</t>
  </si>
  <si>
    <t>TRUE</t>
  </si>
  <si>
    <t>RDMC-EW &amp; Phase 1, C&amp;M</t>
  </si>
  <si>
    <t>ROC</t>
  </si>
  <si>
    <t>Procurement</t>
  </si>
  <si>
    <t>Gate 1</t>
  </si>
  <si>
    <t>FALSE</t>
  </si>
  <si>
    <t>220kV Transmission Substations</t>
  </si>
  <si>
    <t>PCN</t>
  </si>
  <si>
    <t>Crestchic</t>
  </si>
  <si>
    <t>Construction</t>
  </si>
  <si>
    <t>Gate 2</t>
  </si>
  <si>
    <t>Synchronous Condensors</t>
  </si>
  <si>
    <t>COR</t>
  </si>
  <si>
    <t>Orient Energy Systems</t>
  </si>
  <si>
    <t>Rejected</t>
  </si>
  <si>
    <t>Gate 3</t>
  </si>
  <si>
    <t>Excluded</t>
  </si>
  <si>
    <t>E516B</t>
  </si>
  <si>
    <t>E-Houses and Transformers</t>
  </si>
  <si>
    <t>VO</t>
  </si>
  <si>
    <t>Regulatory</t>
  </si>
  <si>
    <t>Gate 4</t>
  </si>
  <si>
    <t>220kV &amp; 33kV Overhead Lines</t>
  </si>
  <si>
    <t>ECR</t>
  </si>
  <si>
    <t>Interface</t>
  </si>
  <si>
    <t>Gate 5</t>
  </si>
  <si>
    <t>E123</t>
  </si>
  <si>
    <t>11kV 20MW Resistive Load Bank</t>
  </si>
  <si>
    <t>Claim</t>
  </si>
  <si>
    <t>NCR</t>
  </si>
  <si>
    <t>Commissioning</t>
  </si>
  <si>
    <t>E101</t>
  </si>
  <si>
    <t>36MVA High Speed Diesel Generator Plant</t>
  </si>
  <si>
    <t>Instruction</t>
  </si>
  <si>
    <t>None</t>
  </si>
  <si>
    <t>K108</t>
  </si>
  <si>
    <t>Battery Energy Storage Systems</t>
  </si>
  <si>
    <t>K110</t>
  </si>
  <si>
    <t>Solar PV</t>
  </si>
  <si>
    <t>E5188</t>
  </si>
  <si>
    <t>PCS Hardware</t>
  </si>
  <si>
    <t>E103</t>
  </si>
  <si>
    <t>Power Factor Correction Filter Banks</t>
  </si>
  <si>
    <t>Likelihood \ Impact</t>
  </si>
  <si>
    <t>5 – Very Likely</t>
  </si>
  <si>
    <t>M</t>
  </si>
  <si>
    <t>H</t>
  </si>
  <si>
    <t>VH</t>
  </si>
  <si>
    <t>4 – Likely</t>
  </si>
  <si>
    <t>3 – Possible</t>
  </si>
  <si>
    <t>L</t>
  </si>
  <si>
    <t>2 – Unlikely</t>
  </si>
  <si>
    <t>1 – Rare</t>
  </si>
  <si>
    <t>Update Notes</t>
  </si>
  <si>
    <t>Source sheet / logic</t>
  </si>
  <si>
    <t>Comment</t>
  </si>
  <si>
    <t>Source workbook</t>
  </si>
  <si>
    <t>Master PDN List_29.4.2026.xlsx</t>
  </si>
  <si>
    <t>Uploaded file</t>
  </si>
  <si>
    <t>Used to update PDNs through 29 April 2026.</t>
  </si>
  <si>
    <t>File name and update date</t>
  </si>
  <si>
    <t>Used in dashboard and waterfall.</t>
  </si>
  <si>
    <t>Existing fixed workbook</t>
  </si>
  <si>
    <t>Left unchanged.</t>
  </si>
  <si>
    <t>PDN-B9RD-B0015 status</t>
  </si>
  <si>
    <t>ABB sheet / latest master status</t>
  </si>
  <si>
    <t>Moved from pending/submitted to approved.</t>
  </si>
  <si>
    <t>B9DW-PDN-SMEG0001 value</t>
  </si>
  <si>
    <t>Aconex Export total impact</t>
  </si>
  <si>
    <t>Master month-end sheet showed two USD 1.4m cost splits; total kept at USD 2.8m.</t>
  </si>
  <si>
    <t>ABB0014 value</t>
  </si>
  <si>
    <t>PDN Month end rpt update</t>
  </si>
  <si>
    <t>Calculated from EUR 162,703 × 1.1 + CHF 25,931 × 1.3.</t>
  </si>
  <si>
    <t>ABB0007 value</t>
  </si>
  <si>
    <t>PDN Month end rpt update / ABB rate</t>
  </si>
  <si>
    <t>Calculated from EUR -1,399,765.46 × 1.1.</t>
  </si>
  <si>
    <t>Trends retained</t>
  </si>
  <si>
    <t>Master list is a PDN list; existing forecast/trend items were retained.</t>
  </si>
  <si>
    <t>Approved total</t>
  </si>
  <si>
    <t>Updated register</t>
  </si>
  <si>
    <t>Sum of approved rows.</t>
  </si>
  <si>
    <t>Pending total</t>
  </si>
  <si>
    <t>Net value of pending/submitted rows included in forecast.</t>
  </si>
  <si>
    <t>Trend exposure</t>
  </si>
  <si>
    <t>Contingent / trend rows retained.</t>
  </si>
  <si>
    <t>Total exposure</t>
  </si>
  <si>
    <t>Approved + pending + trend</t>
  </si>
  <si>
    <t>Dashboard total exposure.</t>
  </si>
  <si>
    <t>Projected final position</t>
  </si>
  <si>
    <t>Baseline + total exposure</t>
  </si>
  <si>
    <t>Waterfall final position.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</si>
</sst>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\-mmm\-yyyy"/>
  </numFmts>
  <fonts count="14">
    <font>
      <sz val="11"/>
      <name val="Carlito"/>
    </font>
    <font>
      <sz val="10"/>
      <name val="Calibri"/>
    </font>
    <font>
      <b/>
      <sz val="10"/>
      <color rgb="FFFFFFFF"/>
      <name val="Calibri"/>
    </font>
    <font>
      <b/>
      <sz val="11"/>
      <color rgb="FFFFFFFF"/>
      <name val="Carlito"/>
    </font>
    <font>
      <b/>
      <sz val="9"/>
      <color rgb="FFFFFFFF"/>
      <name val="Calibri"/>
    </font>
    <font>
      <sz val="9"/>
      <name val="Calibri"/>
    </font>
    <font>
      <b/>
      <sz val="8"/>
      <name val="Calibri"/>
    </font>
    <font>
      <i/>
      <sz val="8"/>
      <color rgb="FF1F4E78"/>
      <name val="Calibri"/>
    </font>
    <font>
      <b/>
      <sz val="14"/>
      <color rgb="FFFFFFFF"/>
      <name val="Calibri"/>
    </font>
    <font>
      <i/>
      <sz val="9"/>
      <color rgb="FF666666"/>
      <name val="Calibri"/>
    </font>
    <font>
      <b/>
      <sz val="9"/>
      <name val="Calibri"/>
    </font>
    <font>
      <b/>
      <sz val="10"/>
      <name val="Calibri"/>
    </font>
    <font>
      <sz val="11"/>
      <name val="Carlito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4" fontId="0" fillId="0" borderId="0" xfId="0" applyNumberFormat="1"/>
    <xf numFmtId="0" fontId="3" fillId="3" borderId="0" xfId="0" applyFont="1" applyFill="1"/>
    <xf numFmtId="49" fontId="0" fillId="0" borderId="0" xfId="0" applyNumberFormat="1"/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10" fontId="5" fillId="0" borderId="1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44" fontId="1" fillId="0" borderId="0" xfId="1" applyFont="1" applyAlignment="1">
      <alignment vertical="center" wrapText="1"/>
    </xf>
    <xf numFmtId="44" fontId="1" fillId="0" borderId="0" xfId="1" applyFont="1" applyAlignment="1">
      <alignment vertical="center"/>
    </xf>
    <xf numFmtId="44" fontId="5" fillId="0" borderId="0" xfId="1" applyFont="1" applyAlignment="1">
      <alignment vertical="center" wrapText="1"/>
    </xf>
    <xf numFmtId="0" fontId="13" fillId="0" borderId="0" xfId="0" applyFont="1" applyAlignment="1">
      <alignment vertical="center" wrapText="1"/>
    </xf>
    <xf numFmtId="44" fontId="13" fillId="0" borderId="0" xfId="1" applyFont="1" applyAlignment="1">
      <alignment vertical="center" wrapText="1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4" fontId="2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4" fontId="2" fillId="3" borderId="0" xfId="0" applyNumberFormat="1" applyFont="1" applyFill="1" applyAlignment="1">
      <alignment horizontal="center" vertical="center" wrapText="1"/>
    </xf>
    <xf numFmtId="4" fontId="2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wrapText="1"/>
    </xf>
  </cellXfs>
  <cellStyles count="2">
    <cellStyle name="Currency" xfId="1" builtinId="4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Phase 1 Change Waterfall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9883488121677096E-2"/>
          <c:y val="0.19056191839656406"/>
          <c:w val="0.89836437512618617"/>
          <c:h val="0.72746337389644478"/>
        </c:manualLayout>
      </c:layout>
      <c:barChart>
        <c:barDir val="col"/>
        <c:grouping val="stacked"/>
        <c:varyColors val="0"/>
        <c:ser>
          <c:idx val="0"/>
          <c:order val="0"/>
          <c:tx>
            <c:v>Base</c:v>
          </c:tx>
          <c:spPr>
            <a:noFill/>
          </c:spPr>
          <c:invertIfNegative val="1"/>
          <c:dLbls>
            <c:delete val="1"/>
          </c:dLbls>
          <c:cat>
            <c:strLit>
              <c:ptCount val="5"/>
              <c:pt idx="0">
                <c:v>Baseline Budget</c:v>
              </c:pt>
              <c:pt idx="1">
                <c:v>Approved Changes</c:v>
              </c:pt>
              <c:pt idx="2">
                <c:v>Pending Approval</c:v>
              </c:pt>
              <c:pt idx="3">
                <c:v>Forecast / Trends</c:v>
              </c:pt>
              <c:pt idx="4">
                <c:v>Projected Final Position</c:v>
              </c:pt>
            </c:strLit>
          </c:cat>
          <c:val>
            <c:numLit>
              <c:formatCode>\$#,##0.00</c:formatCode>
              <c:ptCount val="5"/>
              <c:pt idx="0">
                <c:v>0</c:v>
              </c:pt>
              <c:pt idx="1">
                <c:v>225642537.30574211</c:v>
              </c:pt>
              <c:pt idx="2">
                <c:v>243244906.26574212</c:v>
              </c:pt>
              <c:pt idx="3">
                <c:v>243288335.82574213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661-4FD0-BFE2-5E401A7E6383}"/>
            </c:ext>
          </c:extLst>
        </c:ser>
        <c:ser>
          <c:idx val="1"/>
          <c:order val="1"/>
          <c:tx>
            <c:v>Increase</c:v>
          </c:tx>
          <c:spPr>
            <a:solidFill>
              <a:srgbClr val="4F81BD"/>
            </a:solidFill>
          </c:spPr>
          <c:invertIfNegative val="1"/>
          <c:dLbls>
            <c:dLbl>
              <c:idx val="1"/>
              <c:layout>
                <c:manualLayout>
                  <c:x val="1.0683760683760685E-3"/>
                  <c:y val="-4.981889763779533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61-4FD0-BFE2-5E401A7E6383}"/>
                </c:ext>
              </c:extLst>
            </c:dLbl>
            <c:dLbl>
              <c:idx val="2"/>
              <c:layout>
                <c:manualLayout>
                  <c:x val="2.1367521367520585E-3"/>
                  <c:y val="-2.85297065139584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661-4FD0-BFE2-5E401A7E6383}"/>
                </c:ext>
              </c:extLst>
            </c:dLbl>
            <c:dLbl>
              <c:idx val="3"/>
              <c:layout>
                <c:manualLayout>
                  <c:x val="0"/>
                  <c:y val="-6.128203292770222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61-4FD0-BFE2-5E401A7E6383}"/>
                </c:ext>
              </c:extLst>
            </c:dLbl>
            <c:dLbl>
              <c:idx val="4"/>
              <c:layout>
                <c:manualLayout>
                  <c:x val="-2.3504273504273504E-2"/>
                  <c:y val="-2.54469100453353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661-4FD0-BFE2-5E401A7E6383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5"/>
              <c:pt idx="0">
                <c:v>Baseline Budget</c:v>
              </c:pt>
              <c:pt idx="1">
                <c:v>Approved Changes</c:v>
              </c:pt>
              <c:pt idx="2">
                <c:v>Pending Approval</c:v>
              </c:pt>
              <c:pt idx="3">
                <c:v>Forecast / Trends</c:v>
              </c:pt>
              <c:pt idx="4">
                <c:v>Projected Final Position</c:v>
              </c:pt>
            </c:strLit>
          </c:cat>
          <c:val>
            <c:numLit>
              <c:formatCode>\$#,##0.00</c:formatCode>
              <c:ptCount val="5"/>
              <c:pt idx="0">
                <c:v>0</c:v>
              </c:pt>
              <c:pt idx="1">
                <c:v>17602368.960000001</c:v>
              </c:pt>
              <c:pt idx="2">
                <c:v>43429.560000000056</c:v>
              </c:pt>
              <c:pt idx="3">
                <c:v>22058158.700193774</c:v>
              </c:pt>
              <c:pt idx="4">
                <c:v>0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C661-4FD0-BFE2-5E401A7E6383}"/>
            </c:ext>
          </c:extLst>
        </c:ser>
        <c:ser>
          <c:idx val="2"/>
          <c:order val="2"/>
          <c:tx>
            <c:v>Decrease</c:v>
          </c:tx>
          <c:spPr>
            <a:solidFill>
              <a:srgbClr val="C0504D"/>
            </a:solidFill>
          </c:spPr>
          <c:invertIfNegative val="1"/>
          <c:dLbls>
            <c:delete val="1"/>
          </c:dLbls>
          <c:cat>
            <c:strLit>
              <c:ptCount val="5"/>
              <c:pt idx="0">
                <c:v>Baseline Budget</c:v>
              </c:pt>
              <c:pt idx="1">
                <c:v>Approved Changes</c:v>
              </c:pt>
              <c:pt idx="2">
                <c:v>Pending Approval</c:v>
              </c:pt>
              <c:pt idx="3">
                <c:v>Forecast / Trends</c:v>
              </c:pt>
              <c:pt idx="4">
                <c:v>Projected Final Position</c:v>
              </c:pt>
            </c:strLit>
          </c:cat>
          <c:val>
            <c:numLit>
              <c:formatCode>\$#,##0.00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C661-4FD0-BFE2-5E401A7E6383}"/>
            </c:ext>
          </c:extLst>
        </c:ser>
        <c:ser>
          <c:idx val="3"/>
          <c:order val="3"/>
          <c:tx>
            <c:v>Total</c:v>
          </c:tx>
          <c:spPr>
            <a:solidFill>
              <a:srgbClr val="9BBB59"/>
            </a:solidFill>
          </c:spPr>
          <c:invertIfNegative val="1"/>
          <c:dLbls>
            <c:dLbl>
              <c:idx val="4"/>
              <c:layout>
                <c:manualLayout>
                  <c:x val="0"/>
                  <c:y val="-0.35019350990217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61-4FD0-BFE2-5E401A7E6383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5"/>
              <c:pt idx="0">
                <c:v>Baseline Budget</c:v>
              </c:pt>
              <c:pt idx="1">
                <c:v>Approved Changes</c:v>
              </c:pt>
              <c:pt idx="2">
                <c:v>Pending Approval</c:v>
              </c:pt>
              <c:pt idx="3">
                <c:v>Forecast / Trends</c:v>
              </c:pt>
              <c:pt idx="4">
                <c:v>Projected Final Position</c:v>
              </c:pt>
            </c:strLit>
          </c:cat>
          <c:val>
            <c:numLit>
              <c:formatCode>\$#,##0.00</c:formatCode>
              <c:ptCount val="5"/>
              <c:pt idx="0">
                <c:v>225642537.30574211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265346494.52593589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C661-4FD0-BFE2-5E401A7E63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  <a:prstDash val="solid"/>
            </a:ln>
          </c:spPr>
        </c:majorGridlines>
        <c:numFmt formatCode="\$#,##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Change Count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solidFill>
              <a:srgbClr val="4F81BD"/>
            </a:solidFill>
          </c:spPr>
          <c:invertIfNegative val="1"/>
          <c:cat>
            <c:strLit>
              <c:ptCount val="3"/>
              <c:pt idx="0">
                <c:v>Approved</c:v>
              </c:pt>
              <c:pt idx="1">
                <c:v>Submitted</c:v>
              </c:pt>
              <c:pt idx="2">
                <c:v>Trend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17</c:v>
              </c:pt>
              <c:pt idx="2">
                <c:v>3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8F7-4E57-8B6A-8C3B75E33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Change Count by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F81BD"/>
            </a:solidFill>
          </c:spPr>
          <c:invertIfNegative val="1"/>
          <c:cat>
            <c:strLit>
              <c:ptCount val="3"/>
              <c:pt idx="0">
                <c:v>Commercial</c:v>
              </c:pt>
              <c:pt idx="1">
                <c:v>Technical</c:v>
              </c:pt>
              <c:pt idx="2">
                <c:v>Scope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5</c:v>
              </c:pt>
              <c:pt idx="2">
                <c:v>14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B17-4113-AAF4-CD9C5C461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22860</xdr:rowOff>
    </xdr:from>
    <xdr:ext cx="11887200" cy="4191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3000375</xdr:colOff>
      <xdr:row>7</xdr:row>
      <xdr:rowOff>552450</xdr:rowOff>
    </xdr:from>
    <xdr:ext cx="76200" cy="76200"/>
    <xdr:sp macro="" textlink="">
      <xdr:nvSpPr>
        <xdr:cNvPr id="3" name="Shap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Grp="1"/>
        </xdr:cNvSpPr>
      </xdr:nvSpPr>
      <xdr:spPr>
        <a:xfrm>
          <a:off x="0" y="0"/>
          <a:ext cx="76200" cy="76200"/>
        </a:xfrm>
        <a:prstGeom prst="rect">
          <a:avLst/>
        </a:prstGeom>
        <a:solidFill>
          <a:srgbClr val="4F81BD"/>
        </a:solidFill>
        <a:ln w="0">
          <a:solidFill>
            <a:srgbClr val="4F81BD"/>
          </a:solidFill>
        </a:ln>
      </xdr:spPr>
    </xdr:sp>
    <xdr:clientData/>
  </xdr:oneCellAnchor>
  <xdr:oneCellAnchor>
    <xdr:from>
      <xdr:col>0</xdr:col>
      <xdr:colOff>3114675</xdr:colOff>
      <xdr:row>7</xdr:row>
      <xdr:rowOff>504825</xdr:rowOff>
    </xdr:from>
    <xdr:ext cx="571500" cy="171450"/>
    <xdr:sp macro="" textlink="">
      <xdr:nvSpPr>
        <xdr:cNvPr id="4" name="Shape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Grp="1"/>
        </xdr:cNvSpPr>
      </xdr:nvSpPr>
      <xdr:spPr>
        <a:xfrm>
          <a:off x="0" y="0"/>
          <a:ext cx="571500" cy="17145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</xdr:sp>
    <xdr:clientData/>
  </xdr:oneCellAnchor>
  <xdr:oneCellAnchor>
    <xdr:from>
      <xdr:col>0</xdr:col>
      <xdr:colOff>3762375</xdr:colOff>
      <xdr:row>7</xdr:row>
      <xdr:rowOff>552450</xdr:rowOff>
    </xdr:from>
    <xdr:ext cx="76200" cy="762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Grp="1"/>
        </xdr:cNvSpPr>
      </xdr:nvSpPr>
      <xdr:spPr>
        <a:xfrm>
          <a:off x="0" y="0"/>
          <a:ext cx="76200" cy="76200"/>
        </a:xfrm>
        <a:prstGeom prst="rect">
          <a:avLst/>
        </a:prstGeom>
        <a:solidFill>
          <a:srgbClr val="C0504D"/>
        </a:solidFill>
        <a:ln w="0">
          <a:solidFill>
            <a:srgbClr val="C0504D"/>
          </a:solidFill>
        </a:ln>
      </xdr:spPr>
    </xdr:sp>
    <xdr:clientData/>
  </xdr:oneCellAnchor>
  <xdr:oneCellAnchor>
    <xdr:from>
      <xdr:col>0</xdr:col>
      <xdr:colOff>3876675</xdr:colOff>
      <xdr:row>7</xdr:row>
      <xdr:rowOff>504825</xdr:rowOff>
    </xdr:from>
    <xdr:ext cx="571500" cy="1714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Grp="1"/>
        </xdr:cNvSpPr>
      </xdr:nvSpPr>
      <xdr:spPr>
        <a:xfrm>
          <a:off x="0" y="0"/>
          <a:ext cx="571500" cy="17145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</xdr:sp>
    <xdr:clientData/>
  </xdr:oneCellAnchor>
  <xdr:oneCellAnchor>
    <xdr:from>
      <xdr:col>0</xdr:col>
      <xdr:colOff>4524375</xdr:colOff>
      <xdr:row>7</xdr:row>
      <xdr:rowOff>552450</xdr:rowOff>
    </xdr:from>
    <xdr:ext cx="76200" cy="7620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Grp="1"/>
        </xdr:cNvSpPr>
      </xdr:nvSpPr>
      <xdr:spPr>
        <a:xfrm>
          <a:off x="0" y="0"/>
          <a:ext cx="76200" cy="76200"/>
        </a:xfrm>
        <a:prstGeom prst="rect">
          <a:avLst/>
        </a:prstGeom>
        <a:solidFill>
          <a:srgbClr val="9BBB59"/>
        </a:solidFill>
        <a:ln w="0">
          <a:solidFill>
            <a:srgbClr val="9BBB59"/>
          </a:solidFill>
        </a:ln>
      </xdr:spPr>
    </xdr:sp>
    <xdr:clientData/>
  </xdr:oneCellAnchor>
  <xdr:oneCellAnchor>
    <xdr:from>
      <xdr:col>0</xdr:col>
      <xdr:colOff>4638675</xdr:colOff>
      <xdr:row>7</xdr:row>
      <xdr:rowOff>504825</xdr:rowOff>
    </xdr:from>
    <xdr:ext cx="571500" cy="171450"/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Grp="1"/>
        </xdr:cNvSpPr>
      </xdr:nvSpPr>
      <xdr:spPr>
        <a:xfrm>
          <a:off x="0" y="0"/>
          <a:ext cx="571500" cy="17145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</xdr:sp>
    <xdr:clientData/>
  </xdr:oneCellAnchor>
  <xdr:oneCellAnchor>
    <xdr:from>
      <xdr:col>0</xdr:col>
      <xdr:colOff>914400</xdr:colOff>
      <xdr:row>7</xdr:row>
      <xdr:rowOff>1485900</xdr:rowOff>
    </xdr:from>
    <xdr:ext cx="952500" cy="17145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Grp="1"/>
        </xdr:cNvSpPr>
      </xdr:nvSpPr>
      <xdr:spPr>
        <a:xfrm>
          <a:off x="0" y="0"/>
          <a:ext cx="952500" cy="17145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</xdr:sp>
    <xdr:clientData/>
  </xdr:oneCellAnchor>
  <xdr:oneCellAnchor>
    <xdr:from>
      <xdr:col>0</xdr:col>
      <xdr:colOff>2266950</xdr:colOff>
      <xdr:row>7</xdr:row>
      <xdr:rowOff>1343025</xdr:rowOff>
    </xdr:from>
    <xdr:ext cx="952500" cy="171450"/>
    <xdr:sp macro="" textlink="">
      <xdr:nvSpPr>
        <xdr:cNvPr id="10" name="Shape 8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Grp="1"/>
        </xdr:cNvSpPr>
      </xdr:nvSpPr>
      <xdr:spPr>
        <a:xfrm>
          <a:off x="0" y="0"/>
          <a:ext cx="952500" cy="17145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</xdr:sp>
    <xdr:clientData/>
  </xdr:oneCellAnchor>
  <xdr:oneCellAnchor>
    <xdr:from>
      <xdr:col>0</xdr:col>
      <xdr:colOff>3667125</xdr:colOff>
      <xdr:row>7</xdr:row>
      <xdr:rowOff>1247775</xdr:rowOff>
    </xdr:from>
    <xdr:ext cx="952500" cy="17145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Grp="1"/>
        </xdr:cNvSpPr>
      </xdr:nvSpPr>
      <xdr:spPr>
        <a:xfrm>
          <a:off x="0" y="0"/>
          <a:ext cx="952500" cy="17145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</xdr:sp>
    <xdr:clientData/>
  </xdr:oneCellAnchor>
  <xdr:oneCellAnchor>
    <xdr:from>
      <xdr:col>0</xdr:col>
      <xdr:colOff>4972050</xdr:colOff>
      <xdr:row>7</xdr:row>
      <xdr:rowOff>1162050</xdr:rowOff>
    </xdr:from>
    <xdr:ext cx="952500" cy="171450"/>
    <xdr:sp macro="" textlink="">
      <xdr:nvSpPr>
        <xdr:cNvPr id="12" name="Shape 10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Grp="1"/>
        </xdr:cNvSpPr>
      </xdr:nvSpPr>
      <xdr:spPr>
        <a:xfrm>
          <a:off x="0" y="0"/>
          <a:ext cx="952500" cy="17145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</xdr:sp>
    <xdr:clientData/>
  </xdr:oneCellAnchor>
  <xdr:oneCellAnchor>
    <xdr:from>
      <xdr:col>0</xdr:col>
      <xdr:colOff>6324600</xdr:colOff>
      <xdr:row>7</xdr:row>
      <xdr:rowOff>1162050</xdr:rowOff>
    </xdr:from>
    <xdr:ext cx="952500" cy="171450"/>
    <xdr:sp macro="" textlink="">
      <xdr:nvSpPr>
        <xdr:cNvPr id="13" name="Shape 1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Grp="1"/>
        </xdr:cNvSpPr>
      </xdr:nvSpPr>
      <xdr:spPr>
        <a:xfrm>
          <a:off x="0" y="0"/>
          <a:ext cx="952500" cy="171450"/>
        </a:xfrm>
        <a:prstGeom prst="rect">
          <a:avLst/>
        </a:prstGeom>
        <a:solidFill>
          <a:srgbClr val="FFFFFF"/>
        </a:solidFill>
        <a:ln w="0">
          <a:solidFill>
            <a:srgbClr val="FFFFFF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4943474" cy="22479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38100</xdr:colOff>
      <xdr:row>12</xdr:row>
      <xdr:rowOff>11430</xdr:rowOff>
    </xdr:from>
    <xdr:ext cx="4972050" cy="223647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27175-DAF0-4C0B-BEEC-B20B4FD96C75}" name="Table1" displayName="Table1" ref="A9:P37" totalsRowShown="0" headerRowDxfId="35" dataDxfId="34">
  <autoFilter ref="A9:P37" xr:uid="{5A727175-DAF0-4C0B-BEEC-B20B4FD96C75}"/>
  <tableColumns count="16">
    <tableColumn id="1" xr3:uid="{FBC4AF64-DA06-4C8B-99DF-BC7DEC3B517B}" name="#" dataDxfId="33"/>
    <tableColumn id="2" xr3:uid="{C20849C6-39E7-4607-88A2-88438225A845}" name="Step" dataDxfId="32"/>
    <tableColumn id="3" xr3:uid="{420E2388-BCE4-4BC9-B67C-3799DF2D7CF3}" name="Section" dataDxfId="31"/>
    <tableColumn id="4" xr3:uid="{8824CE2F-9856-4121-B02C-ABCD3C007450}" name="Change Ref" dataDxfId="30"/>
    <tableColumn id="5" xr3:uid="{8A445FAA-3B93-4B74-99ED-3C49FDD9239A}" name="Description" dataDxfId="29"/>
    <tableColumn id="6" xr3:uid="{EED98026-F12A-4896-8872-EB178E64BD55}" name="Amount (ML)" dataDxfId="28" dataCellStyle="Currency"/>
    <tableColumn id="7" xr3:uid="{B7AE8715-5A50-453B-9D30-4927FB773815}" name="Running Position" dataDxfId="27" dataCellStyle="Currency"/>
    <tableColumn id="8" xr3:uid="{DB3B864E-6B64-4220-9022-FFFAAA1AC682}" name="Chart Label" dataDxfId="26" dataCellStyle="Currency"/>
    <tableColumn id="9" xr3:uid="{416166BE-AE7E-445A-A279-71D6F239F360}" name="Base" dataDxfId="25" dataCellStyle="Currency"/>
    <tableColumn id="10" xr3:uid="{81AEA2BD-0383-422E-9DC4-B9AC5B028173}" name="Increase" dataDxfId="24" dataCellStyle="Currency"/>
    <tableColumn id="11" xr3:uid="{94D856AC-F493-4B65-B197-9C854B59E1EA}" name="Decrease" dataDxfId="23" dataCellStyle="Currency"/>
    <tableColumn id="12" xr3:uid="{C751BC94-A91E-4844-832A-32FC74748EBA}" name="Total" dataDxfId="22" dataCellStyle="Currency"/>
    <tableColumn id="13" xr3:uid="{E84AF9E2-98AD-4C18-B57E-406FAB960D5E}" name="Column1" dataDxfId="21" dataCellStyle="Currency"/>
    <tableColumn id="14" xr3:uid="{75A11261-6D1E-4762-8010-A25E742C3C69}" name="Column2" dataDxfId="20" dataCellStyle="Currency"/>
    <tableColumn id="15" xr3:uid="{21517BA4-B65F-4982-BD20-9E1048A15DDC}" name="Label" dataDxfId="19" dataCellStyle="Currency"/>
    <tableColumn id="16" xr3:uid="{83529440-1E22-4EA4-8009-4A77E16DAD66}" name="Value" dataDxfId="18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2CD4EA-B407-4BD8-AAA8-9DCDB5DC1486}" name="Table2" displayName="Table2" ref="A9:P37" totalsRowShown="0" headerRowDxfId="17" dataDxfId="16">
  <autoFilter ref="A9:P37" xr:uid="{BB2CD4EA-B407-4BD8-AAA8-9DCDB5DC1486}"/>
  <tableColumns count="16">
    <tableColumn id="1" xr3:uid="{37387ED7-3FEA-43A3-B180-A99198EBC276}" name="#" dataDxfId="15"/>
    <tableColumn id="2" xr3:uid="{183618E9-BF0E-406F-A37C-BE5837598FB9}" name="Step" dataDxfId="14"/>
    <tableColumn id="3" xr3:uid="{9A46C5B5-8B55-4FFE-8AD1-0EA87EC25CAD}" name="Section" dataDxfId="13"/>
    <tableColumn id="4" xr3:uid="{D9326C20-D738-499D-A0BF-351432C76A48}" name="Change Ref" dataDxfId="12"/>
    <tableColumn id="5" xr3:uid="{05DA1A7C-F085-4DCE-9186-401235C0E407}" name="Description" dataDxfId="11"/>
    <tableColumn id="6" xr3:uid="{F1A1A6EE-E650-4E37-9DBC-D30145AD84A0}" name="Amount (ML)" dataDxfId="10" dataCellStyle="Currency"/>
    <tableColumn id="7" xr3:uid="{9684A501-EABD-47E0-ABB7-3BFA4694D708}" name="Running Position" dataDxfId="9" dataCellStyle="Currency"/>
    <tableColumn id="8" xr3:uid="{B28A1444-1139-4A04-B1DD-68628DF9A18A}" name="Chart Label" dataDxfId="8" dataCellStyle="Currency"/>
    <tableColumn id="9" xr3:uid="{B93E8950-7C00-423D-9F72-D9E2CE17C360}" name="Base" dataDxfId="7" dataCellStyle="Currency"/>
    <tableColumn id="10" xr3:uid="{9EBB3FEB-3F39-4F32-84E4-28C840AA47CF}" name="Increase" dataDxfId="6" dataCellStyle="Currency"/>
    <tableColumn id="11" xr3:uid="{11F34656-6363-4005-A41A-037AB4F26B91}" name="Decrease" dataDxfId="5" dataCellStyle="Currency"/>
    <tableColumn id="12" xr3:uid="{90C14BAD-9BF3-4468-A50D-6BBBBFE17A81}" name="Total" dataDxfId="4" dataCellStyle="Currency"/>
    <tableColumn id="13" xr3:uid="{5A3DFED8-9CD9-4CFE-B60D-E26EACECACB3}" name="Column1" dataDxfId="3" dataCellStyle="Currency"/>
    <tableColumn id="14" xr3:uid="{708ED072-0432-4150-BD60-5A518C119E5A}" name="Column2" dataDxfId="2" dataCellStyle="Currency"/>
    <tableColumn id="15" xr3:uid="{0A770ACE-53A5-4574-9EC9-EB9CC92E9A28}" name="Label" dataDxfId="1" dataCellStyle="Currency"/>
    <tableColumn id="16" xr3:uid="{B173637F-6FAD-4982-B419-B6C60FCD58A2}" name="Valu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3.9"/>
  <cols>
    <col min="1" max="4" width="24" customWidth="1"/>
  </cols>
  <sheetData>
    <row r="1" spans="1:4" ht="19.899999999999999" customHeight="1">
      <c r="A1" s="50" t="s">
        <v>0</v>
      </c>
      <c r="B1" s="51" t="s">
        <v>1</v>
      </c>
      <c r="C1" s="51" t="s">
        <v>2</v>
      </c>
      <c r="D1" s="50" t="s">
        <v>3</v>
      </c>
    </row>
    <row r="2" spans="1:4" ht="19.899999999999999" customHeight="1">
      <c r="A2" s="1" t="s">
        <v>4</v>
      </c>
      <c r="B2" s="1">
        <v>225642537.30574211</v>
      </c>
      <c r="C2" s="1">
        <v>225642537.30574211</v>
      </c>
      <c r="D2" s="1" t="s">
        <v>5</v>
      </c>
    </row>
    <row r="3" spans="1:4" ht="19.899999999999999" customHeight="1">
      <c r="A3" s="1" t="s">
        <v>6</v>
      </c>
      <c r="B3" s="1">
        <v>17602368.960000001</v>
      </c>
      <c r="C3" s="1">
        <v>243244906.26574212</v>
      </c>
      <c r="D3" s="1" t="s">
        <v>7</v>
      </c>
    </row>
    <row r="4" spans="1:4" ht="19.899999999999999" customHeight="1">
      <c r="A4" s="1" t="s">
        <v>8</v>
      </c>
      <c r="B4" s="1">
        <v>43429.560000000056</v>
      </c>
      <c r="C4" s="1">
        <v>243288335.82574213</v>
      </c>
      <c r="D4" s="1" t="s">
        <v>9</v>
      </c>
    </row>
    <row r="5" spans="1:4" ht="19.899999999999999" customHeight="1">
      <c r="A5" s="1" t="s">
        <v>10</v>
      </c>
      <c r="B5" s="1">
        <v>22058158.700193774</v>
      </c>
      <c r="C5" s="1">
        <v>265346494.52593589</v>
      </c>
      <c r="D5" s="1" t="s">
        <v>11</v>
      </c>
    </row>
    <row r="6" spans="1:4" ht="19.899999999999999" customHeight="1">
      <c r="A6" s="1" t="s">
        <v>12</v>
      </c>
      <c r="B6" s="1">
        <v>265346494.52593589</v>
      </c>
      <c r="C6" s="1">
        <v>265346494.52593589</v>
      </c>
      <c r="D6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workbookViewId="0">
      <selection activeCell="M19" sqref="M19"/>
    </sheetView>
  </sheetViews>
  <sheetFormatPr defaultRowHeight="13.9"/>
  <cols>
    <col min="2" max="2" width="28" customWidth="1"/>
    <col min="4" max="4" width="10.25" customWidth="1"/>
    <col min="5" max="5" width="42" customWidth="1"/>
    <col min="6" max="6" width="13.75" bestFit="1" customWidth="1"/>
    <col min="7" max="7" width="14" customWidth="1"/>
    <col min="8" max="8" width="10.375" customWidth="1"/>
    <col min="9" max="9" width="13.75" bestFit="1" customWidth="1"/>
    <col min="10" max="10" width="12.75" bestFit="1" customWidth="1"/>
    <col min="11" max="11" width="12.375" bestFit="1" customWidth="1"/>
    <col min="12" max="12" width="13.75" bestFit="1" customWidth="1"/>
    <col min="13" max="13" width="11.875" bestFit="1" customWidth="1"/>
    <col min="16" max="16" width="13.75" bestFit="1" customWidth="1"/>
  </cols>
  <sheetData>
    <row r="1" spans="1:16" ht="18">
      <c r="A1" s="52" t="s">
        <v>13</v>
      </c>
      <c r="B1" s="45"/>
      <c r="C1" s="45"/>
      <c r="D1" s="45"/>
      <c r="E1" s="45"/>
      <c r="F1" s="46"/>
      <c r="G1" s="46"/>
      <c r="H1" s="45"/>
      <c r="I1" s="46"/>
      <c r="J1" s="46"/>
      <c r="K1" s="46"/>
      <c r="L1" s="46"/>
      <c r="M1" s="45"/>
      <c r="N1" s="45"/>
      <c r="O1" s="45"/>
      <c r="P1" s="45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14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3" t="s">
        <v>15</v>
      </c>
      <c r="B5" s="13"/>
      <c r="C5" s="13" t="s">
        <v>16</v>
      </c>
      <c r="D5" s="13"/>
      <c r="E5" s="13" t="s">
        <v>17</v>
      </c>
      <c r="F5" s="13"/>
      <c r="G5" s="13" t="s">
        <v>18</v>
      </c>
      <c r="H5" s="13"/>
      <c r="I5" s="13" t="s">
        <v>19</v>
      </c>
      <c r="J5" s="13"/>
      <c r="K5" s="13" t="s">
        <v>20</v>
      </c>
      <c r="L5" s="13"/>
      <c r="M5" s="13"/>
      <c r="N5" s="13"/>
      <c r="O5" s="13"/>
      <c r="P5" s="13"/>
    </row>
    <row r="6" spans="1:16">
      <c r="A6" s="1">
        <v>225642537.30574211</v>
      </c>
      <c r="B6" s="1"/>
      <c r="C6" s="1">
        <v>17602368.960000001</v>
      </c>
      <c r="D6" s="1"/>
      <c r="E6" s="1">
        <v>43429.560000000056</v>
      </c>
      <c r="F6" s="1"/>
      <c r="G6" s="1">
        <v>22058158.700193774</v>
      </c>
      <c r="H6" s="1"/>
      <c r="I6" s="1">
        <v>265346494.52593589</v>
      </c>
      <c r="J6" s="1"/>
      <c r="K6" s="1">
        <v>46141</v>
      </c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7.6">
      <c r="A9" s="53" t="s">
        <v>21</v>
      </c>
      <c r="B9" s="53" t="s">
        <v>0</v>
      </c>
      <c r="C9" s="53" t="s">
        <v>3</v>
      </c>
      <c r="D9" s="53" t="s">
        <v>22</v>
      </c>
      <c r="E9" s="53" t="s">
        <v>23</v>
      </c>
      <c r="F9" s="53" t="s">
        <v>24</v>
      </c>
      <c r="G9" s="53" t="s">
        <v>2</v>
      </c>
      <c r="H9" s="53" t="s">
        <v>25</v>
      </c>
      <c r="I9" s="53" t="s">
        <v>26</v>
      </c>
      <c r="J9" s="53" t="s">
        <v>27</v>
      </c>
      <c r="K9" s="53" t="s">
        <v>28</v>
      </c>
      <c r="L9" s="53" t="s">
        <v>5</v>
      </c>
      <c r="M9" s="53" t="s">
        <v>29</v>
      </c>
      <c r="N9" s="53" t="s">
        <v>30</v>
      </c>
      <c r="O9" s="53" t="s">
        <v>31</v>
      </c>
      <c r="P9" s="53" t="s">
        <v>32</v>
      </c>
    </row>
    <row r="10" spans="1:16" ht="27.6">
      <c r="A10" s="14">
        <v>1</v>
      </c>
      <c r="B10" s="14" t="s">
        <v>33</v>
      </c>
      <c r="C10" s="14" t="s">
        <v>5</v>
      </c>
      <c r="D10" s="14" t="s">
        <v>34</v>
      </c>
      <c r="E10" s="14" t="s">
        <v>15</v>
      </c>
      <c r="F10" s="40">
        <v>225642537.30574211</v>
      </c>
      <c r="G10" s="40">
        <v>225642537.30574211</v>
      </c>
      <c r="H10" s="40" t="s">
        <v>33</v>
      </c>
      <c r="I10" s="40"/>
      <c r="J10" s="40"/>
      <c r="K10" s="40"/>
      <c r="L10" s="40">
        <v>225642537.30574211</v>
      </c>
      <c r="M10" s="40"/>
      <c r="N10" s="40"/>
      <c r="O10" s="40" t="s">
        <v>4</v>
      </c>
      <c r="P10" s="40">
        <v>225642537.30574211</v>
      </c>
    </row>
    <row r="11" spans="1:16" ht="41.45">
      <c r="A11" s="14">
        <v>2</v>
      </c>
      <c r="B11" s="14" t="s">
        <v>35</v>
      </c>
      <c r="C11" s="14" t="s">
        <v>7</v>
      </c>
      <c r="D11" s="14" t="s">
        <v>36</v>
      </c>
      <c r="E11" s="14" t="s">
        <v>37</v>
      </c>
      <c r="F11" s="40">
        <v>10626000</v>
      </c>
      <c r="G11" s="40">
        <v>236268537.30574211</v>
      </c>
      <c r="H11" s="40" t="s">
        <v>35</v>
      </c>
      <c r="I11" s="40">
        <v>225642537.30574211</v>
      </c>
      <c r="J11" s="40">
        <v>10626000</v>
      </c>
      <c r="K11" s="40"/>
      <c r="L11" s="40"/>
      <c r="M11" s="40"/>
      <c r="N11" s="40"/>
      <c r="O11" s="40" t="s">
        <v>6</v>
      </c>
      <c r="P11" s="40">
        <v>17602368.960000001</v>
      </c>
    </row>
    <row r="12" spans="1:16" ht="41.45">
      <c r="A12" s="14">
        <v>3</v>
      </c>
      <c r="B12" s="14" t="s">
        <v>38</v>
      </c>
      <c r="C12" s="14" t="s">
        <v>7</v>
      </c>
      <c r="D12" s="14" t="s">
        <v>39</v>
      </c>
      <c r="E12" s="14" t="s">
        <v>40</v>
      </c>
      <c r="F12" s="40">
        <v>915573.89</v>
      </c>
      <c r="G12" s="40">
        <v>237184111.1957421</v>
      </c>
      <c r="H12" s="40" t="s">
        <v>38</v>
      </c>
      <c r="I12" s="40">
        <v>236268537.30574211</v>
      </c>
      <c r="J12" s="40">
        <v>915573.89</v>
      </c>
      <c r="K12" s="40"/>
      <c r="L12" s="40"/>
      <c r="M12" s="40"/>
      <c r="N12" s="40"/>
      <c r="O12" s="40"/>
      <c r="P12" s="40"/>
    </row>
    <row r="13" spans="1:16" ht="41.45">
      <c r="A13" s="14">
        <v>4</v>
      </c>
      <c r="B13" s="14" t="s">
        <v>41</v>
      </c>
      <c r="C13" s="14" t="s">
        <v>7</v>
      </c>
      <c r="D13" s="14" t="s">
        <v>42</v>
      </c>
      <c r="E13" s="14" t="s">
        <v>43</v>
      </c>
      <c r="F13" s="40">
        <v>3260795.07</v>
      </c>
      <c r="G13" s="40">
        <v>240444906.26574209</v>
      </c>
      <c r="H13" s="40" t="s">
        <v>41</v>
      </c>
      <c r="I13" s="40">
        <v>237184111.1957421</v>
      </c>
      <c r="J13" s="40">
        <v>3260795.07</v>
      </c>
      <c r="K13" s="40"/>
      <c r="L13" s="40"/>
      <c r="M13" s="40"/>
      <c r="N13" s="40"/>
      <c r="O13" s="40"/>
      <c r="P13" s="40"/>
    </row>
    <row r="14" spans="1:16" ht="27.6">
      <c r="A14" s="14">
        <v>5</v>
      </c>
      <c r="B14" s="14" t="s">
        <v>44</v>
      </c>
      <c r="C14" s="14" t="s">
        <v>7</v>
      </c>
      <c r="D14" s="14" t="s">
        <v>45</v>
      </c>
      <c r="E14" s="14" t="s">
        <v>46</v>
      </c>
      <c r="F14" s="40">
        <v>2800000</v>
      </c>
      <c r="G14" s="40">
        <v>243244906.26574209</v>
      </c>
      <c r="H14" s="40"/>
      <c r="I14" s="40">
        <v>0</v>
      </c>
      <c r="J14" s="40"/>
      <c r="K14" s="40">
        <v>0</v>
      </c>
      <c r="L14" s="40">
        <v>2800000</v>
      </c>
      <c r="M14" s="40">
        <v>2800000</v>
      </c>
      <c r="N14" s="40"/>
      <c r="O14" s="40"/>
      <c r="P14" s="40"/>
    </row>
    <row r="15" spans="1:16" ht="27.6">
      <c r="A15" s="14">
        <v>6</v>
      </c>
      <c r="B15" s="14" t="s">
        <v>47</v>
      </c>
      <c r="C15" s="14" t="s">
        <v>5</v>
      </c>
      <c r="D15" s="14" t="s">
        <v>48</v>
      </c>
      <c r="E15" s="14" t="s">
        <v>49</v>
      </c>
      <c r="F15" s="40">
        <v>243244906.26574209</v>
      </c>
      <c r="G15" s="40">
        <v>243244906.26574209</v>
      </c>
      <c r="H15" s="40" t="s">
        <v>47</v>
      </c>
      <c r="I15" s="40"/>
      <c r="J15" s="40"/>
      <c r="K15" s="40"/>
      <c r="L15" s="40">
        <v>243244906.26574209</v>
      </c>
      <c r="M15" s="40"/>
      <c r="N15" s="40"/>
      <c r="O15" s="40" t="s">
        <v>8</v>
      </c>
      <c r="P15" s="40">
        <v>43429.560000000056</v>
      </c>
    </row>
    <row r="16" spans="1:16" ht="41.45">
      <c r="A16" s="14">
        <v>7</v>
      </c>
      <c r="B16" s="14" t="s">
        <v>50</v>
      </c>
      <c r="C16" s="14" t="s">
        <v>17</v>
      </c>
      <c r="D16" s="14" t="s">
        <v>51</v>
      </c>
      <c r="E16" s="14" t="s">
        <v>52</v>
      </c>
      <c r="F16" s="40">
        <v>-1864562.9839999999</v>
      </c>
      <c r="G16" s="40">
        <v>241380343.2817421</v>
      </c>
      <c r="H16" s="40" t="s">
        <v>50</v>
      </c>
      <c r="I16" s="40">
        <v>241380343.2817421</v>
      </c>
      <c r="J16" s="40"/>
      <c r="K16" s="40">
        <v>1864562.9839999999</v>
      </c>
      <c r="L16" s="40"/>
      <c r="M16" s="40"/>
      <c r="N16" s="40"/>
      <c r="O16" s="40" t="s">
        <v>10</v>
      </c>
      <c r="P16" s="40">
        <v>22058158.700193774</v>
      </c>
    </row>
    <row r="17" spans="1:16" ht="41.45">
      <c r="A17" s="14">
        <v>8</v>
      </c>
      <c r="B17" s="14" t="s">
        <v>53</v>
      </c>
      <c r="C17" s="14" t="s">
        <v>17</v>
      </c>
      <c r="D17" s="14" t="s">
        <v>54</v>
      </c>
      <c r="E17" s="14" t="s">
        <v>55</v>
      </c>
      <c r="F17" s="40">
        <v>129440.9</v>
      </c>
      <c r="G17" s="40">
        <v>241509784.1817421</v>
      </c>
      <c r="H17" s="40" t="s">
        <v>53</v>
      </c>
      <c r="I17" s="40">
        <v>241380343.2817421</v>
      </c>
      <c r="J17" s="40">
        <v>129440.9</v>
      </c>
      <c r="K17" s="40"/>
      <c r="L17" s="40"/>
      <c r="M17" s="40"/>
      <c r="N17" s="40"/>
      <c r="O17" s="40"/>
      <c r="P17" s="40"/>
    </row>
    <row r="18" spans="1:16" ht="41.45">
      <c r="A18" s="14">
        <v>9</v>
      </c>
      <c r="B18" s="14" t="s">
        <v>56</v>
      </c>
      <c r="C18" s="14" t="s">
        <v>17</v>
      </c>
      <c r="D18" s="14" t="s">
        <v>57</v>
      </c>
      <c r="E18" s="14" t="s">
        <v>58</v>
      </c>
      <c r="F18" s="40">
        <v>123900.7</v>
      </c>
      <c r="G18" s="40">
        <v>241633684.88174209</v>
      </c>
      <c r="H18" s="40" t="s">
        <v>56</v>
      </c>
      <c r="I18" s="40">
        <v>241509784.1817421</v>
      </c>
      <c r="J18" s="40">
        <v>123900.7</v>
      </c>
      <c r="K18" s="40"/>
      <c r="L18" s="40"/>
      <c r="M18" s="40"/>
      <c r="N18" s="40"/>
      <c r="O18" s="40"/>
      <c r="P18" s="40"/>
    </row>
    <row r="19" spans="1:16" ht="41.45">
      <c r="A19" s="14">
        <v>10</v>
      </c>
      <c r="B19" s="14" t="s">
        <v>59</v>
      </c>
      <c r="C19" s="14" t="s">
        <v>17</v>
      </c>
      <c r="D19" s="14" t="s">
        <v>60</v>
      </c>
      <c r="E19" s="14" t="s">
        <v>61</v>
      </c>
      <c r="F19" s="40">
        <v>54891.4</v>
      </c>
      <c r="G19" s="40">
        <v>241688576.2817421</v>
      </c>
      <c r="H19" s="40" t="s">
        <v>59</v>
      </c>
      <c r="I19" s="40">
        <v>241633684.88174209</v>
      </c>
      <c r="J19" s="40">
        <v>54891.4</v>
      </c>
      <c r="K19" s="40"/>
      <c r="L19" s="40"/>
      <c r="M19" s="40"/>
      <c r="N19" s="40"/>
      <c r="O19" s="40"/>
      <c r="P19" s="40"/>
    </row>
    <row r="20" spans="1:16" ht="41.45">
      <c r="A20" s="14">
        <v>11</v>
      </c>
      <c r="B20" s="14" t="s">
        <v>62</v>
      </c>
      <c r="C20" s="14" t="s">
        <v>17</v>
      </c>
      <c r="D20" s="14" t="s">
        <v>63</v>
      </c>
      <c r="E20" s="14" t="s">
        <v>64</v>
      </c>
      <c r="F20" s="40">
        <v>52798.720000000001</v>
      </c>
      <c r="G20" s="40">
        <v>241741375.00174209</v>
      </c>
      <c r="H20" s="40" t="s">
        <v>62</v>
      </c>
      <c r="I20" s="40">
        <v>241688576.2817421</v>
      </c>
      <c r="J20" s="40">
        <v>52798.720000000001</v>
      </c>
      <c r="K20" s="40"/>
      <c r="L20" s="40"/>
      <c r="M20" s="40"/>
      <c r="N20" s="40"/>
      <c r="O20" s="40"/>
      <c r="P20" s="40"/>
    </row>
    <row r="21" spans="1:16" ht="41.45">
      <c r="A21" s="14">
        <v>12</v>
      </c>
      <c r="B21" s="14" t="s">
        <v>65</v>
      </c>
      <c r="C21" s="14" t="s">
        <v>17</v>
      </c>
      <c r="D21" s="14" t="s">
        <v>66</v>
      </c>
      <c r="E21" s="14" t="s">
        <v>67</v>
      </c>
      <c r="F21" s="40">
        <v>658284.30000000005</v>
      </c>
      <c r="G21" s="40">
        <v>242399659.30174211</v>
      </c>
      <c r="H21" s="40" t="s">
        <v>65</v>
      </c>
      <c r="I21" s="40">
        <v>241741375.00174209</v>
      </c>
      <c r="J21" s="40">
        <v>658284.30000000005</v>
      </c>
      <c r="K21" s="40"/>
      <c r="L21" s="40"/>
      <c r="M21" s="40"/>
      <c r="N21" s="40"/>
      <c r="O21" s="40"/>
      <c r="P21" s="40"/>
    </row>
    <row r="22" spans="1:16" ht="41.45">
      <c r="A22" s="14">
        <v>13</v>
      </c>
      <c r="B22" s="14" t="s">
        <v>68</v>
      </c>
      <c r="C22" s="14" t="s">
        <v>17</v>
      </c>
      <c r="D22" s="14" t="s">
        <v>69</v>
      </c>
      <c r="E22" s="14" t="s">
        <v>70</v>
      </c>
      <c r="F22" s="40">
        <v>-203626</v>
      </c>
      <c r="G22" s="40">
        <v>242196033.30174211</v>
      </c>
      <c r="H22" s="40" t="s">
        <v>68</v>
      </c>
      <c r="I22" s="40">
        <v>242196033.30174211</v>
      </c>
      <c r="J22" s="40"/>
      <c r="K22" s="40">
        <v>203626</v>
      </c>
      <c r="L22" s="40"/>
      <c r="M22" s="40"/>
      <c r="N22" s="40"/>
      <c r="O22" s="40"/>
      <c r="P22" s="40"/>
    </row>
    <row r="23" spans="1:16" ht="41.45">
      <c r="A23" s="14">
        <v>14</v>
      </c>
      <c r="B23" s="14" t="s">
        <v>71</v>
      </c>
      <c r="C23" s="14" t="s">
        <v>17</v>
      </c>
      <c r="D23" s="14" t="s">
        <v>72</v>
      </c>
      <c r="E23" s="14" t="s">
        <v>73</v>
      </c>
      <c r="F23" s="40">
        <v>31568.799999999999</v>
      </c>
      <c r="G23" s="40">
        <v>242227602.10174212</v>
      </c>
      <c r="H23" s="40" t="s">
        <v>71</v>
      </c>
      <c r="I23" s="40">
        <v>242196033.30174211</v>
      </c>
      <c r="J23" s="40">
        <v>31568.799999999999</v>
      </c>
      <c r="K23" s="40"/>
      <c r="L23" s="40"/>
      <c r="M23" s="40"/>
      <c r="N23" s="40"/>
      <c r="O23" s="40"/>
      <c r="P23" s="40"/>
    </row>
    <row r="24" spans="1:16" ht="41.45">
      <c r="A24" s="14">
        <v>15</v>
      </c>
      <c r="B24" s="14" t="s">
        <v>74</v>
      </c>
      <c r="C24" s="14" t="s">
        <v>17</v>
      </c>
      <c r="D24" s="14" t="s">
        <v>75</v>
      </c>
      <c r="E24" s="14" t="s">
        <v>76</v>
      </c>
      <c r="F24" s="40">
        <v>0</v>
      </c>
      <c r="G24" s="40">
        <v>242227602.10174212</v>
      </c>
      <c r="H24" s="40" t="s">
        <v>74</v>
      </c>
      <c r="I24" s="40">
        <v>242227602.10174212</v>
      </c>
      <c r="J24" s="40">
        <v>0</v>
      </c>
      <c r="K24" s="40"/>
      <c r="L24" s="40"/>
      <c r="M24" s="40"/>
      <c r="N24" s="40"/>
      <c r="O24" s="40"/>
      <c r="P24" s="40"/>
    </row>
    <row r="25" spans="1:16" ht="41.45">
      <c r="A25" s="14">
        <v>16</v>
      </c>
      <c r="B25" s="14" t="s">
        <v>77</v>
      </c>
      <c r="C25" s="14" t="s">
        <v>17</v>
      </c>
      <c r="D25" s="14" t="s">
        <v>78</v>
      </c>
      <c r="E25" s="14" t="s">
        <v>79</v>
      </c>
      <c r="F25" s="40">
        <v>253500</v>
      </c>
      <c r="G25" s="40">
        <v>242481102.10174212</v>
      </c>
      <c r="H25" s="40" t="s">
        <v>77</v>
      </c>
      <c r="I25" s="40">
        <v>242227602.10174212</v>
      </c>
      <c r="J25" s="40">
        <v>253500</v>
      </c>
      <c r="K25" s="40"/>
      <c r="L25" s="40"/>
      <c r="M25" s="40"/>
      <c r="N25" s="40"/>
      <c r="O25" s="40"/>
      <c r="P25" s="40"/>
    </row>
    <row r="26" spans="1:16" ht="41.45">
      <c r="A26" s="14">
        <v>17</v>
      </c>
      <c r="B26" s="14" t="s">
        <v>80</v>
      </c>
      <c r="C26" s="14" t="s">
        <v>17</v>
      </c>
      <c r="D26" s="14" t="s">
        <v>81</v>
      </c>
      <c r="E26" s="14" t="s">
        <v>82</v>
      </c>
      <c r="F26" s="40">
        <v>253500</v>
      </c>
      <c r="G26" s="40">
        <v>242734602.10174212</v>
      </c>
      <c r="H26" s="40" t="s">
        <v>80</v>
      </c>
      <c r="I26" s="40">
        <v>242481102.10174212</v>
      </c>
      <c r="J26" s="40">
        <v>253500</v>
      </c>
      <c r="K26" s="40"/>
      <c r="L26" s="40"/>
      <c r="M26" s="40"/>
      <c r="N26" s="40"/>
      <c r="O26" s="40"/>
      <c r="P26" s="40"/>
    </row>
    <row r="27" spans="1:16" ht="41.45">
      <c r="A27" s="14">
        <v>18</v>
      </c>
      <c r="B27" s="14" t="s">
        <v>83</v>
      </c>
      <c r="C27" s="14" t="s">
        <v>17</v>
      </c>
      <c r="D27" s="14" t="s">
        <v>84</v>
      </c>
      <c r="E27" s="14" t="s">
        <v>85</v>
      </c>
      <c r="F27" s="40">
        <v>212683.6</v>
      </c>
      <c r="G27" s="40">
        <v>242947285.70174211</v>
      </c>
      <c r="H27" s="40" t="s">
        <v>83</v>
      </c>
      <c r="I27" s="40">
        <v>242734602.10174212</v>
      </c>
      <c r="J27" s="40">
        <v>212683.6</v>
      </c>
      <c r="K27" s="40"/>
      <c r="L27" s="40"/>
      <c r="M27" s="40"/>
      <c r="N27" s="40"/>
      <c r="O27" s="40"/>
      <c r="P27" s="40"/>
    </row>
    <row r="28" spans="1:16" ht="41.45">
      <c r="A28" s="14">
        <v>19</v>
      </c>
      <c r="B28" s="14" t="s">
        <v>86</v>
      </c>
      <c r="C28" s="14" t="s">
        <v>17</v>
      </c>
      <c r="D28" s="14" t="s">
        <v>87</v>
      </c>
      <c r="E28" s="14" t="s">
        <v>88</v>
      </c>
      <c r="F28" s="40">
        <v>0</v>
      </c>
      <c r="G28" s="40">
        <v>242947285.70174211</v>
      </c>
      <c r="H28" s="40" t="s">
        <v>86</v>
      </c>
      <c r="I28" s="40">
        <v>242947285.70174211</v>
      </c>
      <c r="J28" s="40">
        <v>0</v>
      </c>
      <c r="K28" s="40"/>
      <c r="L28" s="40"/>
      <c r="M28" s="40"/>
      <c r="N28" s="40"/>
      <c r="O28" s="40"/>
      <c r="P28" s="40"/>
    </row>
    <row r="29" spans="1:16" ht="41.45">
      <c r="A29" s="14">
        <v>20</v>
      </c>
      <c r="B29" s="14" t="s">
        <v>89</v>
      </c>
      <c r="C29" s="14" t="s">
        <v>17</v>
      </c>
      <c r="D29" s="14" t="s">
        <v>90</v>
      </c>
      <c r="E29" s="14" t="s">
        <v>91</v>
      </c>
      <c r="F29" s="40">
        <v>0</v>
      </c>
      <c r="G29" s="40">
        <v>242947285.70174211</v>
      </c>
      <c r="H29" s="40" t="s">
        <v>89</v>
      </c>
      <c r="I29" s="40">
        <v>242947285.70174211</v>
      </c>
      <c r="J29" s="40">
        <v>0</v>
      </c>
      <c r="K29" s="40"/>
      <c r="L29" s="40"/>
      <c r="M29" s="40"/>
      <c r="N29" s="40"/>
      <c r="O29" s="40"/>
      <c r="P29" s="40"/>
    </row>
    <row r="30" spans="1:16" ht="41.45">
      <c r="A30" s="14">
        <v>21</v>
      </c>
      <c r="B30" s="14" t="s">
        <v>92</v>
      </c>
      <c r="C30" s="14" t="s">
        <v>17</v>
      </c>
      <c r="D30" s="14" t="s">
        <v>93</v>
      </c>
      <c r="E30" s="14" t="s">
        <v>94</v>
      </c>
      <c r="F30" s="40">
        <v>-1539742.0060000001</v>
      </c>
      <c r="G30" s="40">
        <v>241407543.6957421</v>
      </c>
      <c r="H30" s="40" t="s">
        <v>92</v>
      </c>
      <c r="I30" s="40">
        <v>241407543.6957421</v>
      </c>
      <c r="J30" s="40"/>
      <c r="K30" s="40">
        <v>1539742.0060000001</v>
      </c>
      <c r="L30" s="40"/>
      <c r="M30" s="40"/>
      <c r="N30" s="40"/>
      <c r="O30" s="40"/>
      <c r="P30" s="40"/>
    </row>
    <row r="31" spans="1:16" ht="41.45">
      <c r="A31" s="14">
        <v>22</v>
      </c>
      <c r="B31" s="14" t="s">
        <v>95</v>
      </c>
      <c r="C31" s="14" t="s">
        <v>17</v>
      </c>
      <c r="D31" s="14" t="s">
        <v>96</v>
      </c>
      <c r="E31" s="14" t="s">
        <v>97</v>
      </c>
      <c r="F31" s="40">
        <v>1435518.74</v>
      </c>
      <c r="G31" s="40">
        <v>242843062.43574211</v>
      </c>
      <c r="H31" s="40" t="s">
        <v>95</v>
      </c>
      <c r="I31" s="40">
        <v>241407543.6957421</v>
      </c>
      <c r="J31" s="40">
        <v>1435518.74</v>
      </c>
      <c r="K31" s="40"/>
      <c r="L31" s="40"/>
      <c r="M31" s="40"/>
      <c r="N31" s="40"/>
      <c r="O31" s="40"/>
      <c r="P31" s="40"/>
    </row>
    <row r="32" spans="1:16" ht="69">
      <c r="A32" s="14">
        <v>23</v>
      </c>
      <c r="B32" s="14" t="s">
        <v>98</v>
      </c>
      <c r="C32" s="14" t="s">
        <v>17</v>
      </c>
      <c r="D32" s="14" t="s">
        <v>99</v>
      </c>
      <c r="E32" s="14" t="s">
        <v>100</v>
      </c>
      <c r="F32" s="40">
        <v>445273.39</v>
      </c>
      <c r="G32" s="40">
        <v>243288335.8257421</v>
      </c>
      <c r="H32" s="40" t="s">
        <v>101</v>
      </c>
      <c r="I32" s="40">
        <v>242843062.43574211</v>
      </c>
      <c r="J32" s="40">
        <v>445273.39</v>
      </c>
      <c r="K32" s="40"/>
      <c r="L32" s="40"/>
      <c r="M32" s="40"/>
      <c r="N32" s="40"/>
      <c r="O32" s="40"/>
      <c r="P32" s="40"/>
    </row>
    <row r="33" spans="1:16" ht="41.45">
      <c r="A33" s="14">
        <v>24</v>
      </c>
      <c r="B33" s="14" t="s">
        <v>102</v>
      </c>
      <c r="C33" s="14" t="s">
        <v>5</v>
      </c>
      <c r="D33" s="14" t="s">
        <v>48</v>
      </c>
      <c r="E33" s="14" t="s">
        <v>103</v>
      </c>
      <c r="F33" s="40">
        <v>243288335.8257421</v>
      </c>
      <c r="G33" s="40">
        <v>243288335.8257421</v>
      </c>
      <c r="H33" s="40" t="s">
        <v>102</v>
      </c>
      <c r="I33" s="40"/>
      <c r="J33" s="40"/>
      <c r="K33" s="40"/>
      <c r="L33" s="40">
        <v>243288335.8257421</v>
      </c>
      <c r="M33" s="40"/>
      <c r="N33" s="40"/>
      <c r="O33" s="40" t="s">
        <v>12</v>
      </c>
      <c r="P33" s="40">
        <v>265346494.52593589</v>
      </c>
    </row>
    <row r="34" spans="1:16" ht="27.6">
      <c r="A34" s="14">
        <v>25</v>
      </c>
      <c r="B34" s="14" t="s">
        <v>104</v>
      </c>
      <c r="C34" s="14" t="s">
        <v>105</v>
      </c>
      <c r="D34" s="14" t="s">
        <v>106</v>
      </c>
      <c r="E34" s="14" t="s">
        <v>107</v>
      </c>
      <c r="F34" s="40">
        <v>100000</v>
      </c>
      <c r="G34" s="40">
        <v>243388335.8257421</v>
      </c>
      <c r="H34" s="40" t="s">
        <v>104</v>
      </c>
      <c r="I34" s="40">
        <v>243288335.8257421</v>
      </c>
      <c r="J34" s="40">
        <v>100000</v>
      </c>
      <c r="K34" s="40"/>
      <c r="L34" s="40"/>
      <c r="M34" s="40"/>
      <c r="N34" s="40"/>
      <c r="O34" s="40"/>
      <c r="P34" s="40"/>
    </row>
    <row r="35" spans="1:16" ht="41.45">
      <c r="A35" s="14">
        <v>26</v>
      </c>
      <c r="B35" s="14" t="s">
        <v>108</v>
      </c>
      <c r="C35" s="14" t="s">
        <v>105</v>
      </c>
      <c r="D35" s="14" t="s">
        <v>109</v>
      </c>
      <c r="E35" s="14" t="s">
        <v>110</v>
      </c>
      <c r="F35" s="40">
        <v>20960529.809999999</v>
      </c>
      <c r="G35" s="40">
        <v>264348865.6357421</v>
      </c>
      <c r="H35" s="40" t="s">
        <v>111</v>
      </c>
      <c r="I35" s="40">
        <v>243388335.8257421</v>
      </c>
      <c r="J35" s="40">
        <v>20960529.809999999</v>
      </c>
      <c r="K35" s="40"/>
      <c r="L35" s="40"/>
      <c r="M35" s="40"/>
      <c r="N35" s="40"/>
      <c r="O35" s="40"/>
      <c r="P35" s="40"/>
    </row>
    <row r="36" spans="1:16" ht="41.45">
      <c r="A36" s="14">
        <v>27</v>
      </c>
      <c r="B36" s="14" t="s">
        <v>112</v>
      </c>
      <c r="C36" s="14" t="s">
        <v>105</v>
      </c>
      <c r="D36" s="14" t="s">
        <v>109</v>
      </c>
      <c r="E36" s="14" t="s">
        <v>113</v>
      </c>
      <c r="F36" s="40">
        <v>997628.89019377599</v>
      </c>
      <c r="G36" s="40">
        <v>265346494.52593589</v>
      </c>
      <c r="H36" s="40" t="s">
        <v>111</v>
      </c>
      <c r="I36" s="40">
        <v>264348865.6357421</v>
      </c>
      <c r="J36" s="40">
        <v>997628.89019377599</v>
      </c>
      <c r="K36" s="40"/>
      <c r="L36" s="40"/>
      <c r="M36" s="40"/>
      <c r="N36" s="40"/>
      <c r="O36" s="40"/>
      <c r="P36" s="40"/>
    </row>
    <row r="37" spans="1:16" ht="27.6">
      <c r="A37" s="14">
        <v>28</v>
      </c>
      <c r="B37" s="14" t="s">
        <v>12</v>
      </c>
      <c r="C37" s="14" t="s">
        <v>5</v>
      </c>
      <c r="D37" s="14" t="s">
        <v>5</v>
      </c>
      <c r="E37" s="14" t="s">
        <v>114</v>
      </c>
      <c r="F37" s="40">
        <v>265346494.52593589</v>
      </c>
      <c r="G37" s="40">
        <v>265346494.52593589</v>
      </c>
      <c r="H37" s="40" t="s">
        <v>12</v>
      </c>
      <c r="I37" s="40"/>
      <c r="J37" s="40"/>
      <c r="K37" s="40"/>
      <c r="L37" s="40">
        <v>265346494.52593589</v>
      </c>
      <c r="M37" s="40"/>
      <c r="N37" s="40"/>
      <c r="O37" s="40"/>
      <c r="P37" s="40"/>
    </row>
  </sheetData>
  <mergeCells count="1">
    <mergeCell ref="A1:P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topLeftCell="C1" workbookViewId="0">
      <selection activeCell="E22" sqref="E22"/>
    </sheetView>
  </sheetViews>
  <sheetFormatPr defaultRowHeight="13.9"/>
  <cols>
    <col min="1" max="1" width="15.5" customWidth="1"/>
    <col min="2" max="2" width="13.625" customWidth="1"/>
    <col min="3" max="3" width="16.375" customWidth="1"/>
    <col min="4" max="4" width="20.5" customWidth="1"/>
    <col min="5" max="5" width="67.75" customWidth="1"/>
    <col min="6" max="6" width="7" customWidth="1"/>
    <col min="7" max="7" width="10.75" customWidth="1"/>
    <col min="8" max="8" width="11.25" customWidth="1"/>
    <col min="9" max="9" width="12.75" customWidth="1"/>
    <col min="10" max="10" width="14.875" customWidth="1"/>
    <col min="11" max="11" width="10.125" customWidth="1"/>
    <col min="12" max="12" width="14" customWidth="1"/>
    <col min="13" max="13" width="32.75" customWidth="1"/>
  </cols>
  <sheetData>
    <row r="1" spans="1:13">
      <c r="A1" s="54" t="s">
        <v>115</v>
      </c>
      <c r="B1" s="54" t="s">
        <v>116</v>
      </c>
      <c r="C1" s="54" t="s">
        <v>117</v>
      </c>
      <c r="D1" s="54" t="s">
        <v>118</v>
      </c>
      <c r="E1" s="54" t="s">
        <v>23</v>
      </c>
      <c r="F1" s="54" t="s">
        <v>119</v>
      </c>
      <c r="G1" s="55" t="s">
        <v>120</v>
      </c>
      <c r="H1" s="55" t="s">
        <v>121</v>
      </c>
      <c r="I1" s="55" t="s">
        <v>122</v>
      </c>
      <c r="J1" s="54" t="s">
        <v>123</v>
      </c>
      <c r="K1" s="56" t="s">
        <v>124</v>
      </c>
      <c r="L1" s="56" t="s">
        <v>125</v>
      </c>
      <c r="M1" s="56" t="s">
        <v>126</v>
      </c>
    </row>
    <row r="2" spans="1:13">
      <c r="A2" s="1" t="s">
        <v>36</v>
      </c>
      <c r="B2" s="1" t="s">
        <v>127</v>
      </c>
      <c r="C2" s="1" t="s">
        <v>128</v>
      </c>
      <c r="D2" s="1" t="s">
        <v>129</v>
      </c>
      <c r="E2" s="1" t="s">
        <v>37</v>
      </c>
      <c r="F2" s="1" t="s">
        <v>7</v>
      </c>
      <c r="G2" s="1">
        <v>46141</v>
      </c>
      <c r="H2" s="1">
        <v>10626000</v>
      </c>
      <c r="I2" s="1" t="s">
        <v>7</v>
      </c>
      <c r="J2" s="1" t="s">
        <v>130</v>
      </c>
      <c r="K2" s="1">
        <v>46141</v>
      </c>
      <c r="L2" s="3" t="b">
        <v>1</v>
      </c>
      <c r="M2" s="1" t="s">
        <v>131</v>
      </c>
    </row>
    <row r="3" spans="1:13">
      <c r="A3" s="1" t="s">
        <v>39</v>
      </c>
      <c r="B3" s="1" t="s">
        <v>127</v>
      </c>
      <c r="C3" s="1" t="s">
        <v>132</v>
      </c>
      <c r="D3" s="1" t="s">
        <v>133</v>
      </c>
      <c r="E3" s="1" t="s">
        <v>40</v>
      </c>
      <c r="F3" s="1" t="s">
        <v>7</v>
      </c>
      <c r="G3" s="1"/>
      <c r="H3" s="1">
        <v>915573.89</v>
      </c>
      <c r="I3" s="1" t="s">
        <v>7</v>
      </c>
      <c r="J3" s="1" t="s">
        <v>130</v>
      </c>
      <c r="K3" s="1">
        <v>46141</v>
      </c>
      <c r="L3" s="3" t="b">
        <v>1</v>
      </c>
      <c r="M3" s="1" t="s">
        <v>131</v>
      </c>
    </row>
    <row r="4" spans="1:13">
      <c r="A4" s="1" t="s">
        <v>42</v>
      </c>
      <c r="B4" s="1" t="s">
        <v>127</v>
      </c>
      <c r="C4" s="1" t="s">
        <v>134</v>
      </c>
      <c r="D4" s="1" t="s">
        <v>135</v>
      </c>
      <c r="E4" s="1" t="s">
        <v>43</v>
      </c>
      <c r="F4" s="1" t="s">
        <v>7</v>
      </c>
      <c r="G4" s="1"/>
      <c r="H4" s="1">
        <v>3260795.07</v>
      </c>
      <c r="I4" s="1" t="s">
        <v>7</v>
      </c>
      <c r="J4" s="1" t="s">
        <v>130</v>
      </c>
      <c r="K4" s="1">
        <v>46141</v>
      </c>
      <c r="L4" s="3" t="b">
        <v>1</v>
      </c>
      <c r="M4" s="1" t="s">
        <v>131</v>
      </c>
    </row>
    <row r="5" spans="1:13">
      <c r="A5" s="1" t="s">
        <v>119</v>
      </c>
      <c r="B5" s="1" t="s">
        <v>136</v>
      </c>
      <c r="C5" s="1" t="s">
        <v>137</v>
      </c>
      <c r="D5" s="1" t="s">
        <v>138</v>
      </c>
      <c r="E5" s="1" t="s">
        <v>46</v>
      </c>
      <c r="F5" s="1" t="s">
        <v>7</v>
      </c>
      <c r="G5" s="1"/>
      <c r="H5" s="1">
        <v>2800000</v>
      </c>
      <c r="I5" s="1" t="s">
        <v>7</v>
      </c>
      <c r="J5" s="1" t="s">
        <v>130</v>
      </c>
      <c r="K5" s="1">
        <v>46141</v>
      </c>
      <c r="L5" s="3" t="b">
        <v>1</v>
      </c>
      <c r="M5" s="1" t="s">
        <v>131</v>
      </c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 t="s">
        <v>139</v>
      </c>
      <c r="B7" s="1" t="s">
        <v>140</v>
      </c>
      <c r="C7" s="1" t="s">
        <v>141</v>
      </c>
      <c r="D7" s="1" t="s">
        <v>142</v>
      </c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>
        <v>16</v>
      </c>
      <c r="C8" s="1">
        <v>-401843.83000000031</v>
      </c>
      <c r="D8" s="1">
        <v>0</v>
      </c>
      <c r="E8" s="1"/>
      <c r="F8" s="1"/>
      <c r="G8" s="1"/>
      <c r="H8" s="1"/>
      <c r="I8" s="1"/>
      <c r="J8" s="1"/>
      <c r="K8" s="1"/>
      <c r="L8" s="1"/>
      <c r="M8" s="1"/>
    </row>
    <row r="9" spans="1:13">
      <c r="A9" s="1" t="s">
        <v>143</v>
      </c>
      <c r="B9" s="1">
        <v>1</v>
      </c>
      <c r="C9" s="1">
        <v>10626000</v>
      </c>
      <c r="D9" s="1">
        <v>0</v>
      </c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 t="s">
        <v>144</v>
      </c>
      <c r="B10" s="1">
        <v>17</v>
      </c>
      <c r="C10" s="1">
        <v>10224156.170000004</v>
      </c>
      <c r="D10" s="1">
        <v>0</v>
      </c>
      <c r="E10" s="1"/>
      <c r="F10" s="1"/>
      <c r="G10" s="1"/>
      <c r="H10" s="1"/>
      <c r="I10" s="1"/>
      <c r="J10" s="1"/>
      <c r="K10" s="1"/>
      <c r="L10" s="1"/>
      <c r="M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3.9"/>
  <cols>
    <col min="1" max="1" width="12" customWidth="1"/>
    <col min="2" max="2" width="65.75" customWidth="1"/>
  </cols>
  <sheetData>
    <row r="1" spans="1:2">
      <c r="A1" s="54" t="s">
        <v>145</v>
      </c>
      <c r="B1" s="54" t="s">
        <v>32</v>
      </c>
    </row>
    <row r="2" spans="1:2">
      <c r="A2" s="1" t="s">
        <v>146</v>
      </c>
      <c r="B2" s="1">
        <v>4</v>
      </c>
    </row>
    <row r="3" spans="1:2">
      <c r="A3" s="1" t="s">
        <v>147</v>
      </c>
      <c r="B3" s="1">
        <v>17602368.960000001</v>
      </c>
    </row>
    <row r="4" spans="1:2">
      <c r="A4" s="1" t="s">
        <v>148</v>
      </c>
      <c r="B4" s="1">
        <v>46141</v>
      </c>
    </row>
    <row r="5" spans="1:2">
      <c r="A5" s="1" t="s">
        <v>126</v>
      </c>
      <c r="B5" s="1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>
      <selection activeCell="E32" sqref="E32"/>
    </sheetView>
  </sheetViews>
  <sheetFormatPr defaultRowHeight="13.9"/>
  <cols>
    <col min="1" max="1" width="8.625" customWidth="1"/>
    <col min="2" max="2" width="45" customWidth="1"/>
    <col min="3" max="3" width="5.875" customWidth="1"/>
    <col min="4" max="4" width="6.25" customWidth="1"/>
    <col min="5" max="5" width="76" customWidth="1"/>
    <col min="6" max="6" width="15.625" customWidth="1"/>
    <col min="7" max="7" width="13.125" bestFit="1" customWidth="1"/>
    <col min="8" max="8" width="19.625" customWidth="1"/>
  </cols>
  <sheetData>
    <row r="1" spans="1:8">
      <c r="A1" s="54" t="s">
        <v>3</v>
      </c>
      <c r="B1" s="54" t="s">
        <v>115</v>
      </c>
      <c r="C1" s="54" t="s">
        <v>117</v>
      </c>
      <c r="D1" s="54" t="s">
        <v>118</v>
      </c>
      <c r="E1" s="54" t="s">
        <v>23</v>
      </c>
      <c r="F1" s="55" t="s">
        <v>119</v>
      </c>
      <c r="G1" s="55" t="s">
        <v>1</v>
      </c>
      <c r="H1" s="54" t="s">
        <v>125</v>
      </c>
    </row>
    <row r="2" spans="1:8">
      <c r="A2" s="1" t="s">
        <v>7</v>
      </c>
      <c r="B2" s="1" t="s">
        <v>36</v>
      </c>
      <c r="C2" s="1" t="s">
        <v>128</v>
      </c>
      <c r="D2" s="1" t="s">
        <v>129</v>
      </c>
      <c r="E2" s="1" t="s">
        <v>37</v>
      </c>
      <c r="F2" s="41" t="s">
        <v>7</v>
      </c>
      <c r="G2" s="41">
        <v>10626000</v>
      </c>
      <c r="H2" s="3" t="b">
        <v>1</v>
      </c>
    </row>
    <row r="3" spans="1:8">
      <c r="A3" s="1" t="s">
        <v>7</v>
      </c>
      <c r="B3" s="1" t="s">
        <v>39</v>
      </c>
      <c r="C3" s="1" t="s">
        <v>132</v>
      </c>
      <c r="D3" s="1" t="s">
        <v>133</v>
      </c>
      <c r="E3" s="1" t="s">
        <v>40</v>
      </c>
      <c r="F3" s="41" t="s">
        <v>7</v>
      </c>
      <c r="G3" s="41">
        <v>915573.89</v>
      </c>
      <c r="H3" s="3" t="b">
        <v>1</v>
      </c>
    </row>
    <row r="4" spans="1:8">
      <c r="A4" s="1"/>
      <c r="B4" s="1"/>
      <c r="C4" s="1"/>
      <c r="D4" s="1" t="s">
        <v>150</v>
      </c>
      <c r="E4" s="1" t="s">
        <v>151</v>
      </c>
      <c r="F4" s="41" t="s">
        <v>152</v>
      </c>
      <c r="G4" s="41" t="s">
        <v>153</v>
      </c>
      <c r="H4" s="1" t="s">
        <v>154</v>
      </c>
    </row>
    <row r="5" spans="1:8">
      <c r="A5" s="1" t="s">
        <v>155</v>
      </c>
      <c r="B5" s="1"/>
      <c r="C5" s="1"/>
      <c r="D5" s="1">
        <v>8</v>
      </c>
      <c r="E5" s="1">
        <v>1174341.9000000001</v>
      </c>
      <c r="F5" s="41">
        <v>1174341.9000000001</v>
      </c>
      <c r="G5" s="41">
        <v>1174341.9000000001</v>
      </c>
      <c r="H5" s="1">
        <v>0</v>
      </c>
    </row>
    <row r="6" spans="1:8">
      <c r="A6" s="1" t="s">
        <v>155</v>
      </c>
      <c r="B6" s="1" t="s">
        <v>9</v>
      </c>
      <c r="C6" s="1"/>
      <c r="D6" s="1">
        <v>8</v>
      </c>
      <c r="E6" s="1">
        <v>1174341.9000000001</v>
      </c>
      <c r="F6" s="41">
        <v>1174341.9000000001</v>
      </c>
      <c r="G6" s="41">
        <v>1174341.9000000001</v>
      </c>
      <c r="H6" s="1">
        <v>0</v>
      </c>
    </row>
    <row r="7" spans="1:8">
      <c r="A7" s="1" t="s">
        <v>155</v>
      </c>
      <c r="B7" s="1" t="s">
        <v>9</v>
      </c>
      <c r="C7" s="1" t="s">
        <v>156</v>
      </c>
      <c r="D7" s="1">
        <v>8</v>
      </c>
      <c r="E7" s="1">
        <v>1174341.9000000001</v>
      </c>
      <c r="F7" s="41">
        <v>1174341.9000000001</v>
      </c>
      <c r="G7" s="41">
        <v>1174341.9000000001</v>
      </c>
      <c r="H7" s="1">
        <v>0</v>
      </c>
    </row>
    <row r="8" spans="1:8">
      <c r="A8" s="1" t="s">
        <v>157</v>
      </c>
      <c r="B8" s="1"/>
      <c r="C8" s="1"/>
      <c r="D8" s="1">
        <v>4</v>
      </c>
      <c r="E8" s="1">
        <v>8657213.75</v>
      </c>
      <c r="F8" s="41">
        <v>8657213.75</v>
      </c>
      <c r="G8" s="41">
        <v>8657213.75</v>
      </c>
      <c r="H8" s="1">
        <v>0</v>
      </c>
    </row>
    <row r="9" spans="1:8">
      <c r="A9" s="1" t="s">
        <v>157</v>
      </c>
      <c r="B9" s="1" t="s">
        <v>7</v>
      </c>
      <c r="C9" s="1"/>
      <c r="D9" s="1">
        <v>1</v>
      </c>
      <c r="E9" s="1">
        <v>10626000</v>
      </c>
      <c r="F9" s="41">
        <v>10626000</v>
      </c>
      <c r="G9" s="41">
        <v>10626000</v>
      </c>
      <c r="H9" s="1">
        <v>0</v>
      </c>
    </row>
    <row r="10" spans="1:8">
      <c r="A10" s="1" t="s">
        <v>157</v>
      </c>
      <c r="B10" s="1" t="s">
        <v>7</v>
      </c>
      <c r="C10" s="1" t="s">
        <v>156</v>
      </c>
      <c r="D10" s="1">
        <v>1</v>
      </c>
      <c r="E10" s="1">
        <v>10626000</v>
      </c>
      <c r="F10" s="41">
        <v>10626000</v>
      </c>
      <c r="G10" s="41">
        <v>10626000</v>
      </c>
      <c r="H10" s="1">
        <v>0</v>
      </c>
    </row>
    <row r="11" spans="1:8">
      <c r="A11" s="1" t="s">
        <v>157</v>
      </c>
      <c r="B11" s="1" t="s">
        <v>9</v>
      </c>
      <c r="C11" s="1"/>
      <c r="D11" s="1">
        <v>3</v>
      </c>
      <c r="E11" s="1">
        <v>-1968786.2500000002</v>
      </c>
      <c r="F11" s="41">
        <v>-1968786.2500000002</v>
      </c>
      <c r="G11" s="41">
        <v>-1968786.2500000002</v>
      </c>
      <c r="H11" s="1">
        <v>0</v>
      </c>
    </row>
    <row r="12" spans="1:8">
      <c r="A12" s="1" t="s">
        <v>157</v>
      </c>
      <c r="B12" s="1" t="s">
        <v>9</v>
      </c>
      <c r="C12" s="1" t="s">
        <v>156</v>
      </c>
      <c r="D12" s="1">
        <v>3</v>
      </c>
      <c r="E12" s="1">
        <v>-1968786.2500000002</v>
      </c>
      <c r="F12" s="41">
        <v>-1968786.2500000002</v>
      </c>
      <c r="G12" s="41">
        <v>-1968786.2500000002</v>
      </c>
      <c r="H12" s="1">
        <v>0</v>
      </c>
    </row>
    <row r="13" spans="1:8">
      <c r="A13" s="1" t="s">
        <v>158</v>
      </c>
      <c r="B13" s="1"/>
      <c r="C13" s="1"/>
      <c r="D13" s="1">
        <v>5</v>
      </c>
      <c r="E13" s="1">
        <v>392600.51999999996</v>
      </c>
      <c r="F13" s="41">
        <v>392600.51999999996</v>
      </c>
      <c r="G13" s="41">
        <v>392600.51999999996</v>
      </c>
      <c r="H13" s="1">
        <v>0</v>
      </c>
    </row>
    <row r="14" spans="1:8">
      <c r="A14" s="1" t="s">
        <v>158</v>
      </c>
      <c r="B14" s="1" t="s">
        <v>9</v>
      </c>
      <c r="C14" s="1"/>
      <c r="D14" s="1">
        <v>5</v>
      </c>
      <c r="E14" s="1">
        <v>392600.51999999996</v>
      </c>
      <c r="F14" s="41">
        <v>392600.51999999996</v>
      </c>
      <c r="G14" s="41">
        <v>392600.51999999996</v>
      </c>
      <c r="H14" s="1">
        <v>0</v>
      </c>
    </row>
    <row r="15" spans="1:8">
      <c r="A15" s="1" t="s">
        <v>158</v>
      </c>
      <c r="B15" s="1" t="s">
        <v>9</v>
      </c>
      <c r="C15" s="1" t="s">
        <v>156</v>
      </c>
      <c r="D15" s="1">
        <v>5</v>
      </c>
      <c r="E15" s="1">
        <v>392600.51999999996</v>
      </c>
      <c r="F15" s="41">
        <v>392600.51999999996</v>
      </c>
      <c r="G15" s="41">
        <v>392600.51999999996</v>
      </c>
      <c r="H15" s="1">
        <v>0</v>
      </c>
    </row>
    <row r="16" spans="1:8">
      <c r="A16" s="1" t="s">
        <v>9</v>
      </c>
      <c r="B16" s="1" t="s">
        <v>81</v>
      </c>
      <c r="C16" s="1" t="s">
        <v>128</v>
      </c>
      <c r="D16" s="1" t="s">
        <v>129</v>
      </c>
      <c r="E16" s="1" t="s">
        <v>82</v>
      </c>
      <c r="F16" s="41" t="s">
        <v>136</v>
      </c>
      <c r="G16" s="41">
        <v>253500</v>
      </c>
      <c r="H16" s="3" t="b">
        <v>1</v>
      </c>
    </row>
    <row r="17" spans="1:8">
      <c r="A17" s="1" t="s">
        <v>9</v>
      </c>
      <c r="B17" s="1" t="s">
        <v>84</v>
      </c>
      <c r="C17" s="1" t="s">
        <v>159</v>
      </c>
      <c r="D17" s="1" t="s">
        <v>129</v>
      </c>
      <c r="E17" s="1" t="s">
        <v>85</v>
      </c>
      <c r="F17" s="41" t="s">
        <v>136</v>
      </c>
      <c r="G17" s="41">
        <v>212683.6</v>
      </c>
      <c r="H17" s="3" t="b">
        <v>1</v>
      </c>
    </row>
    <row r="18" spans="1:8">
      <c r="A18" s="1" t="s">
        <v>9</v>
      </c>
      <c r="B18" s="1" t="s">
        <v>87</v>
      </c>
      <c r="C18" s="1" t="s">
        <v>159</v>
      </c>
      <c r="D18" s="1" t="s">
        <v>129</v>
      </c>
      <c r="E18" s="1" t="s">
        <v>88</v>
      </c>
      <c r="F18" s="41" t="s">
        <v>136</v>
      </c>
      <c r="G18" s="41">
        <v>0</v>
      </c>
      <c r="H18" s="3" t="b">
        <v>1</v>
      </c>
    </row>
    <row r="19" spans="1:8">
      <c r="A19" s="1" t="s">
        <v>9</v>
      </c>
      <c r="B19" s="1" t="s">
        <v>90</v>
      </c>
      <c r="C19" s="1" t="s">
        <v>159</v>
      </c>
      <c r="D19" s="1" t="s">
        <v>129</v>
      </c>
      <c r="E19" s="1" t="s">
        <v>91</v>
      </c>
      <c r="F19" s="41" t="s">
        <v>136</v>
      </c>
      <c r="G19" s="41">
        <v>0</v>
      </c>
      <c r="H19" s="3" t="b">
        <v>1</v>
      </c>
    </row>
    <row r="20" spans="1:8">
      <c r="A20" s="1" t="s">
        <v>9</v>
      </c>
      <c r="B20" s="1" t="s">
        <v>93</v>
      </c>
      <c r="C20" s="1" t="s">
        <v>128</v>
      </c>
      <c r="D20" s="1" t="s">
        <v>129</v>
      </c>
      <c r="E20" s="1" t="s">
        <v>94</v>
      </c>
      <c r="F20" s="41" t="s">
        <v>136</v>
      </c>
      <c r="G20" s="41">
        <v>-1539742.0060000001</v>
      </c>
      <c r="H20" s="3" t="b">
        <v>1</v>
      </c>
    </row>
    <row r="21" spans="1:8">
      <c r="A21" s="1" t="s">
        <v>9</v>
      </c>
      <c r="B21" s="1" t="s">
        <v>96</v>
      </c>
      <c r="C21" s="1" t="s">
        <v>160</v>
      </c>
      <c r="D21" s="1" t="s">
        <v>161</v>
      </c>
      <c r="E21" s="1" t="s">
        <v>97</v>
      </c>
      <c r="F21" s="41" t="s">
        <v>136</v>
      </c>
      <c r="G21" s="41">
        <v>1435518.74</v>
      </c>
      <c r="H21" s="3" t="b">
        <v>1</v>
      </c>
    </row>
    <row r="22" spans="1:8">
      <c r="A22" s="1" t="s">
        <v>9</v>
      </c>
      <c r="B22" s="1" t="s">
        <v>99</v>
      </c>
      <c r="C22" s="1" t="s">
        <v>132</v>
      </c>
      <c r="D22" s="1" t="s">
        <v>133</v>
      </c>
      <c r="E22" s="1" t="s">
        <v>100</v>
      </c>
      <c r="F22" s="41" t="s">
        <v>136</v>
      </c>
      <c r="G22" s="41">
        <v>445273.39</v>
      </c>
      <c r="H22" s="3" t="b">
        <v>1</v>
      </c>
    </row>
    <row r="23" spans="1:8">
      <c r="A23" s="1" t="s">
        <v>162</v>
      </c>
      <c r="B23" s="1" t="s">
        <v>106</v>
      </c>
      <c r="C23" s="1" t="s">
        <v>132</v>
      </c>
      <c r="D23" s="1" t="s">
        <v>133</v>
      </c>
      <c r="E23" s="1" t="s">
        <v>107</v>
      </c>
      <c r="F23" s="41" t="s">
        <v>11</v>
      </c>
      <c r="G23" s="41">
        <v>100000</v>
      </c>
      <c r="H23" s="3" t="b">
        <v>0</v>
      </c>
    </row>
    <row r="24" spans="1:8">
      <c r="A24" s="1" t="s">
        <v>162</v>
      </c>
      <c r="B24" s="1" t="s">
        <v>163</v>
      </c>
      <c r="C24" s="1" t="s">
        <v>164</v>
      </c>
      <c r="D24" s="1" t="s">
        <v>135</v>
      </c>
      <c r="E24" s="1" t="s">
        <v>110</v>
      </c>
      <c r="F24" s="41" t="s">
        <v>11</v>
      </c>
      <c r="G24" s="41">
        <v>20960529.809999999</v>
      </c>
      <c r="H24" s="3" t="b">
        <v>0</v>
      </c>
    </row>
    <row r="25" spans="1:8">
      <c r="A25" s="1" t="s">
        <v>162</v>
      </c>
      <c r="B25" s="1" t="s">
        <v>165</v>
      </c>
      <c r="C25" s="1" t="s">
        <v>164</v>
      </c>
      <c r="D25" s="1" t="s">
        <v>166</v>
      </c>
      <c r="E25" s="1" t="s">
        <v>113</v>
      </c>
      <c r="F25" s="41" t="s">
        <v>11</v>
      </c>
      <c r="G25" s="41">
        <v>997628.89019377599</v>
      </c>
      <c r="H25" s="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7"/>
  <sheetViews>
    <sheetView showGridLines="0" topLeftCell="A22" workbookViewId="0">
      <selection activeCell="J45" sqref="J45"/>
    </sheetView>
  </sheetViews>
  <sheetFormatPr defaultRowHeight="13.9"/>
  <cols>
    <col min="1" max="1" width="5" customWidth="1"/>
    <col min="2" max="2" width="28" customWidth="1"/>
    <col min="3" max="4" width="16" customWidth="1"/>
    <col min="5" max="5" width="42" customWidth="1"/>
    <col min="6" max="7" width="16" customWidth="1"/>
    <col min="8" max="8" width="28" customWidth="1"/>
    <col min="9" max="12" width="14" customWidth="1"/>
    <col min="16" max="16" width="11.75" bestFit="1" customWidth="1"/>
    <col min="18" max="22" width="0" hidden="1" customWidth="1"/>
  </cols>
  <sheetData>
    <row r="1" spans="1:22" ht="18">
      <c r="A1" s="57" t="s">
        <v>13</v>
      </c>
      <c r="B1" s="47"/>
      <c r="C1" s="47"/>
      <c r="D1" s="47"/>
      <c r="E1" s="47"/>
      <c r="F1" s="48"/>
      <c r="G1" s="48"/>
      <c r="H1" s="47"/>
      <c r="I1" s="48"/>
      <c r="J1" s="48"/>
      <c r="K1" s="48"/>
      <c r="L1" s="48"/>
      <c r="M1" s="47"/>
      <c r="N1" s="47"/>
      <c r="O1" s="47"/>
      <c r="P1" s="47"/>
      <c r="R1" s="16" t="s">
        <v>0</v>
      </c>
      <c r="S1" s="16" t="s">
        <v>26</v>
      </c>
      <c r="T1" s="16" t="s">
        <v>27</v>
      </c>
      <c r="U1" s="16" t="s">
        <v>28</v>
      </c>
      <c r="V1" s="16" t="s">
        <v>5</v>
      </c>
    </row>
    <row r="2" spans="1:2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R2" s="17" t="s">
        <v>4</v>
      </c>
      <c r="S2" s="15">
        <v>0</v>
      </c>
      <c r="T2" s="15">
        <v>0</v>
      </c>
      <c r="U2" s="15">
        <v>0</v>
      </c>
      <c r="V2" s="15">
        <v>225642537.30574211</v>
      </c>
    </row>
    <row r="3" spans="1:22">
      <c r="A3" s="49" t="s">
        <v>14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R3" s="17" t="s">
        <v>6</v>
      </c>
      <c r="S3" s="15">
        <v>225642537.30574211</v>
      </c>
      <c r="T3" s="15">
        <v>17602368.960000001</v>
      </c>
      <c r="U3" s="15">
        <v>0</v>
      </c>
      <c r="V3" s="15">
        <v>0</v>
      </c>
    </row>
    <row r="4" spans="1:2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R4" s="17" t="s">
        <v>8</v>
      </c>
      <c r="S4" s="15">
        <v>243244906.26574212</v>
      </c>
      <c r="T4" s="15">
        <v>43429.560000000056</v>
      </c>
      <c r="U4" s="15">
        <v>0</v>
      </c>
      <c r="V4" s="15">
        <v>0</v>
      </c>
    </row>
    <row r="5" spans="1:22">
      <c r="A5" s="12" t="s">
        <v>15</v>
      </c>
      <c r="B5" s="12"/>
      <c r="C5" s="12" t="s">
        <v>16</v>
      </c>
      <c r="D5" s="12"/>
      <c r="E5" s="12" t="s">
        <v>17</v>
      </c>
      <c r="F5" s="12"/>
      <c r="G5" s="12" t="s">
        <v>18</v>
      </c>
      <c r="H5" s="12"/>
      <c r="I5" s="12" t="s">
        <v>19</v>
      </c>
      <c r="J5" s="12"/>
      <c r="K5" s="12" t="s">
        <v>20</v>
      </c>
      <c r="L5" s="12"/>
      <c r="M5" s="12"/>
      <c r="N5" s="12"/>
      <c r="O5" s="12"/>
      <c r="P5" s="12"/>
      <c r="R5" s="17" t="s">
        <v>10</v>
      </c>
      <c r="S5" s="15">
        <v>243288335.82574213</v>
      </c>
      <c r="T5" s="15">
        <v>22058158.700193774</v>
      </c>
      <c r="U5" s="15">
        <v>0</v>
      </c>
      <c r="V5" s="15">
        <v>0</v>
      </c>
    </row>
    <row r="6" spans="1:22">
      <c r="A6" s="6">
        <v>225642537.30574211</v>
      </c>
      <c r="B6" s="6"/>
      <c r="C6" s="6">
        <v>17602368.960000001</v>
      </c>
      <c r="D6" s="6"/>
      <c r="E6" s="6">
        <v>43429.560000000056</v>
      </c>
      <c r="F6" s="6"/>
      <c r="G6" s="6">
        <v>22058158.700193774</v>
      </c>
      <c r="H6" s="6"/>
      <c r="I6" s="6">
        <v>265346494.52593589</v>
      </c>
      <c r="J6" s="6"/>
      <c r="K6" s="6">
        <v>46141</v>
      </c>
      <c r="L6" s="6"/>
      <c r="M6" s="6"/>
      <c r="N6" s="6"/>
      <c r="O6" s="6"/>
      <c r="P6" s="6"/>
      <c r="R6" s="17" t="s">
        <v>12</v>
      </c>
      <c r="S6" s="15">
        <v>0</v>
      </c>
      <c r="T6" s="15">
        <v>0</v>
      </c>
      <c r="U6" s="15">
        <v>0</v>
      </c>
      <c r="V6" s="15">
        <v>265346494.52593589</v>
      </c>
    </row>
    <row r="7" spans="1:2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2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22">
      <c r="A9" s="58" t="s">
        <v>21</v>
      </c>
      <c r="B9" s="58" t="s">
        <v>0</v>
      </c>
      <c r="C9" s="58" t="s">
        <v>3</v>
      </c>
      <c r="D9" s="58" t="s">
        <v>22</v>
      </c>
      <c r="E9" s="58" t="s">
        <v>23</v>
      </c>
      <c r="F9" s="58" t="s">
        <v>24</v>
      </c>
      <c r="G9" s="58" t="s">
        <v>2</v>
      </c>
      <c r="H9" s="58" t="s">
        <v>25</v>
      </c>
      <c r="I9" s="58" t="s">
        <v>26</v>
      </c>
      <c r="J9" s="58" t="s">
        <v>27</v>
      </c>
      <c r="K9" s="58" t="s">
        <v>28</v>
      </c>
      <c r="L9" s="58" t="s">
        <v>5</v>
      </c>
      <c r="M9" s="58" t="s">
        <v>29</v>
      </c>
      <c r="N9" s="58" t="s">
        <v>30</v>
      </c>
      <c r="O9" s="58" t="s">
        <v>31</v>
      </c>
      <c r="P9" s="58" t="s">
        <v>32</v>
      </c>
    </row>
    <row r="10" spans="1:22" ht="24">
      <c r="A10" s="11">
        <v>1</v>
      </c>
      <c r="B10" s="11" t="s">
        <v>33</v>
      </c>
      <c r="C10" s="11" t="s">
        <v>5</v>
      </c>
      <c r="D10" s="11" t="s">
        <v>34</v>
      </c>
      <c r="E10" s="11" t="s">
        <v>15</v>
      </c>
      <c r="F10" s="42">
        <v>225642537.30574211</v>
      </c>
      <c r="G10" s="42">
        <v>225642537.30574211</v>
      </c>
      <c r="H10" s="42" t="s">
        <v>33</v>
      </c>
      <c r="I10" s="42"/>
      <c r="J10" s="42"/>
      <c r="K10" s="42"/>
      <c r="L10" s="42">
        <v>225642537.30574211</v>
      </c>
      <c r="M10" s="42"/>
      <c r="N10" s="42"/>
      <c r="O10" s="42" t="s">
        <v>4</v>
      </c>
      <c r="P10" s="42">
        <v>225642537.30574211</v>
      </c>
    </row>
    <row r="11" spans="1:22" ht="24">
      <c r="A11" s="11">
        <v>2</v>
      </c>
      <c r="B11" s="11" t="s">
        <v>35</v>
      </c>
      <c r="C11" s="11" t="s">
        <v>7</v>
      </c>
      <c r="D11" s="11" t="s">
        <v>36</v>
      </c>
      <c r="E11" s="11" t="s">
        <v>37</v>
      </c>
      <c r="F11" s="42">
        <v>10626000</v>
      </c>
      <c r="G11" s="42">
        <v>236268537.30574211</v>
      </c>
      <c r="H11" s="42" t="s">
        <v>35</v>
      </c>
      <c r="I11" s="42">
        <v>225642537.30574211</v>
      </c>
      <c r="J11" s="42">
        <v>10626000</v>
      </c>
      <c r="K11" s="42"/>
      <c r="L11" s="42"/>
      <c r="M11" s="42"/>
      <c r="N11" s="42"/>
      <c r="O11" s="42" t="s">
        <v>6</v>
      </c>
      <c r="P11" s="42">
        <v>17602368.960000001</v>
      </c>
    </row>
    <row r="12" spans="1:22" ht="24">
      <c r="A12" s="11">
        <v>3</v>
      </c>
      <c r="B12" s="11" t="s">
        <v>38</v>
      </c>
      <c r="C12" s="11" t="s">
        <v>7</v>
      </c>
      <c r="D12" s="11" t="s">
        <v>39</v>
      </c>
      <c r="E12" s="11" t="s">
        <v>40</v>
      </c>
      <c r="F12" s="42">
        <v>915573.89</v>
      </c>
      <c r="G12" s="42">
        <v>237184111.1957421</v>
      </c>
      <c r="H12" s="42" t="s">
        <v>38</v>
      </c>
      <c r="I12" s="42">
        <v>236268537.30574211</v>
      </c>
      <c r="J12" s="42">
        <v>915573.89</v>
      </c>
      <c r="K12" s="42"/>
      <c r="L12" s="42"/>
      <c r="M12" s="42"/>
      <c r="N12" s="42"/>
      <c r="O12" s="42"/>
      <c r="P12" s="42"/>
    </row>
    <row r="13" spans="1:22" ht="24">
      <c r="A13" s="11">
        <v>4</v>
      </c>
      <c r="B13" s="11" t="s">
        <v>41</v>
      </c>
      <c r="C13" s="11" t="s">
        <v>7</v>
      </c>
      <c r="D13" s="11" t="s">
        <v>42</v>
      </c>
      <c r="E13" s="11" t="s">
        <v>43</v>
      </c>
      <c r="F13" s="42">
        <v>3260795.07</v>
      </c>
      <c r="G13" s="42">
        <v>240444906.26574209</v>
      </c>
      <c r="H13" s="42" t="s">
        <v>41</v>
      </c>
      <c r="I13" s="42">
        <v>237184111.1957421</v>
      </c>
      <c r="J13" s="42">
        <v>3260795.07</v>
      </c>
      <c r="K13" s="42"/>
      <c r="L13" s="42"/>
      <c r="M13" s="42"/>
      <c r="N13" s="42"/>
      <c r="O13" s="42"/>
      <c r="P13" s="42"/>
    </row>
    <row r="14" spans="1:22">
      <c r="A14" s="11">
        <v>5</v>
      </c>
      <c r="B14" s="11" t="s">
        <v>44</v>
      </c>
      <c r="C14" s="11" t="s">
        <v>7</v>
      </c>
      <c r="D14" s="11" t="s">
        <v>45</v>
      </c>
      <c r="E14" s="11" t="s">
        <v>46</v>
      </c>
      <c r="F14" s="42">
        <v>2800000</v>
      </c>
      <c r="G14" s="42">
        <v>243244906.26574209</v>
      </c>
      <c r="H14" s="42" t="s">
        <v>44</v>
      </c>
      <c r="I14" s="42">
        <v>240444906.26574209</v>
      </c>
      <c r="J14" s="42">
        <v>2800000</v>
      </c>
      <c r="K14" s="42"/>
      <c r="L14" s="42"/>
      <c r="M14" s="42"/>
      <c r="N14" s="42"/>
      <c r="O14" s="42"/>
      <c r="P14" s="42"/>
    </row>
    <row r="15" spans="1:22" ht="24">
      <c r="A15" s="11">
        <v>6</v>
      </c>
      <c r="B15" s="11" t="s">
        <v>47</v>
      </c>
      <c r="C15" s="11" t="s">
        <v>5</v>
      </c>
      <c r="D15" s="11" t="s">
        <v>48</v>
      </c>
      <c r="E15" s="11" t="s">
        <v>49</v>
      </c>
      <c r="F15" s="42">
        <v>243244906.26574209</v>
      </c>
      <c r="G15" s="42">
        <v>243244906.26574209</v>
      </c>
      <c r="H15" s="42" t="s">
        <v>47</v>
      </c>
      <c r="I15" s="42"/>
      <c r="J15" s="42"/>
      <c r="K15" s="42"/>
      <c r="L15" s="42">
        <v>243244906.26574209</v>
      </c>
      <c r="M15" s="42"/>
      <c r="N15" s="42"/>
      <c r="O15" s="42" t="s">
        <v>8</v>
      </c>
      <c r="P15" s="42">
        <v>43429.560000000056</v>
      </c>
    </row>
    <row r="16" spans="1:22" ht="24">
      <c r="A16" s="11">
        <v>7</v>
      </c>
      <c r="B16" s="11" t="s">
        <v>50</v>
      </c>
      <c r="C16" s="11" t="s">
        <v>17</v>
      </c>
      <c r="D16" s="11" t="s">
        <v>51</v>
      </c>
      <c r="E16" s="11" t="s">
        <v>52</v>
      </c>
      <c r="F16" s="42">
        <v>-1864562.9839999999</v>
      </c>
      <c r="G16" s="42">
        <v>241380343.2817421</v>
      </c>
      <c r="H16" s="42" t="s">
        <v>50</v>
      </c>
      <c r="I16" s="42">
        <v>241380343.2817421</v>
      </c>
      <c r="J16" s="42"/>
      <c r="K16" s="42">
        <v>1864562.9839999999</v>
      </c>
      <c r="L16" s="42"/>
      <c r="M16" s="42"/>
      <c r="N16" s="42"/>
      <c r="O16" s="42" t="s">
        <v>10</v>
      </c>
      <c r="P16" s="42">
        <v>22058158.700193774</v>
      </c>
    </row>
    <row r="17" spans="1:16">
      <c r="A17" s="11">
        <v>8</v>
      </c>
      <c r="B17" s="11" t="s">
        <v>53</v>
      </c>
      <c r="C17" s="11" t="s">
        <v>17</v>
      </c>
      <c r="D17" s="11" t="s">
        <v>54</v>
      </c>
      <c r="E17" s="11" t="s">
        <v>55</v>
      </c>
      <c r="F17" s="42">
        <v>129440.9</v>
      </c>
      <c r="G17" s="42">
        <v>241509784.1817421</v>
      </c>
      <c r="H17" s="42" t="s">
        <v>53</v>
      </c>
      <c r="I17" s="42">
        <v>241380343.2817421</v>
      </c>
      <c r="J17" s="42">
        <v>129440.9</v>
      </c>
      <c r="K17" s="42"/>
      <c r="L17" s="42"/>
      <c r="M17" s="42"/>
      <c r="N17" s="42"/>
      <c r="O17" s="42"/>
      <c r="P17" s="42"/>
    </row>
    <row r="18" spans="1:16" ht="24">
      <c r="A18" s="11">
        <v>9</v>
      </c>
      <c r="B18" s="11" t="s">
        <v>56</v>
      </c>
      <c r="C18" s="11" t="s">
        <v>17</v>
      </c>
      <c r="D18" s="11" t="s">
        <v>57</v>
      </c>
      <c r="E18" s="11" t="s">
        <v>58</v>
      </c>
      <c r="F18" s="42">
        <v>123900.7</v>
      </c>
      <c r="G18" s="42">
        <v>241633684.88174209</v>
      </c>
      <c r="H18" s="42" t="s">
        <v>56</v>
      </c>
      <c r="I18" s="42">
        <v>241509784.1817421</v>
      </c>
      <c r="J18" s="42">
        <v>123900.7</v>
      </c>
      <c r="K18" s="42"/>
      <c r="L18" s="42"/>
      <c r="M18" s="42"/>
      <c r="N18" s="42"/>
      <c r="O18" s="42"/>
      <c r="P18" s="42"/>
    </row>
    <row r="19" spans="1:16">
      <c r="A19" s="11">
        <v>10</v>
      </c>
      <c r="B19" s="11" t="s">
        <v>59</v>
      </c>
      <c r="C19" s="11" t="s">
        <v>17</v>
      </c>
      <c r="D19" s="11" t="s">
        <v>60</v>
      </c>
      <c r="E19" s="11" t="s">
        <v>61</v>
      </c>
      <c r="F19" s="42">
        <v>54891.4</v>
      </c>
      <c r="G19" s="42">
        <v>241688576.2817421</v>
      </c>
      <c r="H19" s="42" t="s">
        <v>59</v>
      </c>
      <c r="I19" s="42">
        <v>241633684.88174209</v>
      </c>
      <c r="J19" s="42">
        <v>54891.4</v>
      </c>
      <c r="K19" s="42"/>
      <c r="L19" s="42"/>
      <c r="M19" s="42"/>
      <c r="N19" s="42"/>
      <c r="O19" s="42"/>
      <c r="P19" s="42"/>
    </row>
    <row r="20" spans="1:16">
      <c r="A20" s="11">
        <v>11</v>
      </c>
      <c r="B20" s="11" t="s">
        <v>62</v>
      </c>
      <c r="C20" s="11" t="s">
        <v>17</v>
      </c>
      <c r="D20" s="11" t="s">
        <v>63</v>
      </c>
      <c r="E20" s="11" t="s">
        <v>64</v>
      </c>
      <c r="F20" s="42">
        <v>52798.720000000001</v>
      </c>
      <c r="G20" s="42">
        <v>241741375.00174209</v>
      </c>
      <c r="H20" s="42" t="s">
        <v>62</v>
      </c>
      <c r="I20" s="42">
        <v>241688576.2817421</v>
      </c>
      <c r="J20" s="42">
        <v>52798.720000000001</v>
      </c>
      <c r="K20" s="42"/>
      <c r="L20" s="42"/>
      <c r="M20" s="42"/>
      <c r="N20" s="42"/>
      <c r="O20" s="42"/>
      <c r="P20" s="42"/>
    </row>
    <row r="21" spans="1:16">
      <c r="A21" s="11">
        <v>12</v>
      </c>
      <c r="B21" s="11" t="s">
        <v>65</v>
      </c>
      <c r="C21" s="11" t="s">
        <v>17</v>
      </c>
      <c r="D21" s="11" t="s">
        <v>66</v>
      </c>
      <c r="E21" s="11" t="s">
        <v>67</v>
      </c>
      <c r="F21" s="42">
        <v>658284.30000000005</v>
      </c>
      <c r="G21" s="42">
        <v>242399659.30174211</v>
      </c>
      <c r="H21" s="42" t="s">
        <v>65</v>
      </c>
      <c r="I21" s="42">
        <v>241741375.00174209</v>
      </c>
      <c r="J21" s="42">
        <v>658284.30000000005</v>
      </c>
      <c r="K21" s="42"/>
      <c r="L21" s="42"/>
      <c r="M21" s="42"/>
      <c r="N21" s="42"/>
      <c r="O21" s="42"/>
      <c r="P21" s="42"/>
    </row>
    <row r="22" spans="1:16">
      <c r="A22" s="11">
        <v>13</v>
      </c>
      <c r="B22" s="11" t="s">
        <v>68</v>
      </c>
      <c r="C22" s="11" t="s">
        <v>17</v>
      </c>
      <c r="D22" s="11" t="s">
        <v>69</v>
      </c>
      <c r="E22" s="11" t="s">
        <v>70</v>
      </c>
      <c r="F22" s="42">
        <v>-203626</v>
      </c>
      <c r="G22" s="42">
        <v>242196033.30174211</v>
      </c>
      <c r="H22" s="42" t="s">
        <v>68</v>
      </c>
      <c r="I22" s="42">
        <v>242196033.30174211</v>
      </c>
      <c r="J22" s="42"/>
      <c r="K22" s="42">
        <v>203626</v>
      </c>
      <c r="L22" s="42"/>
      <c r="M22" s="42"/>
      <c r="N22" s="42"/>
      <c r="O22" s="42"/>
      <c r="P22" s="42"/>
    </row>
    <row r="23" spans="1:16">
      <c r="A23" s="11">
        <v>14</v>
      </c>
      <c r="B23" s="11" t="s">
        <v>71</v>
      </c>
      <c r="C23" s="11" t="s">
        <v>17</v>
      </c>
      <c r="D23" s="11" t="s">
        <v>72</v>
      </c>
      <c r="E23" s="11" t="s">
        <v>73</v>
      </c>
      <c r="F23" s="42">
        <v>31568.799999999999</v>
      </c>
      <c r="G23" s="42">
        <v>242227602.10174212</v>
      </c>
      <c r="H23" s="42" t="s">
        <v>71</v>
      </c>
      <c r="I23" s="42">
        <v>242196033.30174211</v>
      </c>
      <c r="J23" s="42">
        <v>31568.799999999999</v>
      </c>
      <c r="K23" s="42"/>
      <c r="L23" s="42"/>
      <c r="M23" s="42"/>
      <c r="N23" s="42"/>
      <c r="O23" s="42"/>
      <c r="P23" s="42"/>
    </row>
    <row r="24" spans="1:16">
      <c r="A24" s="11">
        <v>15</v>
      </c>
      <c r="B24" s="11" t="s">
        <v>74</v>
      </c>
      <c r="C24" s="11" t="s">
        <v>17</v>
      </c>
      <c r="D24" s="11" t="s">
        <v>75</v>
      </c>
      <c r="E24" s="11" t="s">
        <v>76</v>
      </c>
      <c r="F24" s="42">
        <v>0</v>
      </c>
      <c r="G24" s="42">
        <v>242227602.10174212</v>
      </c>
      <c r="H24" s="42" t="s">
        <v>74</v>
      </c>
      <c r="I24" s="42">
        <v>242227602.10174212</v>
      </c>
      <c r="J24" s="42">
        <v>0</v>
      </c>
      <c r="K24" s="42"/>
      <c r="L24" s="42"/>
      <c r="M24" s="42"/>
      <c r="N24" s="42"/>
      <c r="O24" s="42"/>
      <c r="P24" s="42"/>
    </row>
    <row r="25" spans="1:16">
      <c r="A25" s="11">
        <v>16</v>
      </c>
      <c r="B25" s="11" t="s">
        <v>77</v>
      </c>
      <c r="C25" s="11" t="s">
        <v>17</v>
      </c>
      <c r="D25" s="11" t="s">
        <v>78</v>
      </c>
      <c r="E25" s="11" t="s">
        <v>79</v>
      </c>
      <c r="F25" s="42">
        <v>253500</v>
      </c>
      <c r="G25" s="42">
        <v>242481102.10174212</v>
      </c>
      <c r="H25" s="42" t="s">
        <v>77</v>
      </c>
      <c r="I25" s="42">
        <v>242227602.10174212</v>
      </c>
      <c r="J25" s="42">
        <v>253500</v>
      </c>
      <c r="K25" s="42"/>
      <c r="L25" s="42"/>
      <c r="M25" s="42"/>
      <c r="N25" s="42"/>
      <c r="O25" s="42"/>
      <c r="P25" s="42"/>
    </row>
    <row r="26" spans="1:16">
      <c r="A26" s="11">
        <v>17</v>
      </c>
      <c r="B26" s="11" t="s">
        <v>80</v>
      </c>
      <c r="C26" s="11" t="s">
        <v>17</v>
      </c>
      <c r="D26" s="11" t="s">
        <v>81</v>
      </c>
      <c r="E26" s="11" t="s">
        <v>82</v>
      </c>
      <c r="F26" s="42">
        <v>253500</v>
      </c>
      <c r="G26" s="42">
        <v>242734602.10174212</v>
      </c>
      <c r="H26" s="42" t="s">
        <v>80</v>
      </c>
      <c r="I26" s="42">
        <v>242481102.10174212</v>
      </c>
      <c r="J26" s="42">
        <v>253500</v>
      </c>
      <c r="K26" s="42"/>
      <c r="L26" s="42"/>
      <c r="M26" s="42"/>
      <c r="N26" s="42"/>
      <c r="O26" s="42"/>
      <c r="P26" s="42"/>
    </row>
    <row r="27" spans="1:16" ht="24">
      <c r="A27" s="11">
        <v>18</v>
      </c>
      <c r="B27" s="11" t="s">
        <v>83</v>
      </c>
      <c r="C27" s="11" t="s">
        <v>17</v>
      </c>
      <c r="D27" s="11" t="s">
        <v>84</v>
      </c>
      <c r="E27" s="11" t="s">
        <v>85</v>
      </c>
      <c r="F27" s="42">
        <v>212683.6</v>
      </c>
      <c r="G27" s="42">
        <v>242947285.70174211</v>
      </c>
      <c r="H27" s="42" t="s">
        <v>83</v>
      </c>
      <c r="I27" s="42">
        <v>242734602.10174212</v>
      </c>
      <c r="J27" s="42">
        <v>212683.6</v>
      </c>
      <c r="K27" s="42"/>
      <c r="L27" s="42"/>
      <c r="M27" s="42"/>
      <c r="N27" s="42"/>
      <c r="O27" s="42"/>
      <c r="P27" s="42"/>
    </row>
    <row r="28" spans="1:16">
      <c r="A28" s="11">
        <v>19</v>
      </c>
      <c r="B28" s="11" t="s">
        <v>86</v>
      </c>
      <c r="C28" s="11" t="s">
        <v>17</v>
      </c>
      <c r="D28" s="11" t="s">
        <v>87</v>
      </c>
      <c r="E28" s="11" t="s">
        <v>88</v>
      </c>
      <c r="F28" s="42">
        <v>0</v>
      </c>
      <c r="G28" s="42">
        <v>242947285.70174211</v>
      </c>
      <c r="H28" s="42" t="s">
        <v>86</v>
      </c>
      <c r="I28" s="42">
        <v>242947285.70174211</v>
      </c>
      <c r="J28" s="42">
        <v>0</v>
      </c>
      <c r="K28" s="42"/>
      <c r="L28" s="42"/>
      <c r="M28" s="42"/>
      <c r="N28" s="42"/>
      <c r="O28" s="42"/>
      <c r="P28" s="42"/>
    </row>
    <row r="29" spans="1:16">
      <c r="A29" s="11">
        <v>20</v>
      </c>
      <c r="B29" s="11" t="s">
        <v>89</v>
      </c>
      <c r="C29" s="11" t="s">
        <v>17</v>
      </c>
      <c r="D29" s="11" t="s">
        <v>90</v>
      </c>
      <c r="E29" s="11" t="s">
        <v>91</v>
      </c>
      <c r="F29" s="42">
        <v>0</v>
      </c>
      <c r="G29" s="42">
        <v>242947285.70174211</v>
      </c>
      <c r="H29" s="42" t="s">
        <v>89</v>
      </c>
      <c r="I29" s="42">
        <v>242947285.70174211</v>
      </c>
      <c r="J29" s="42">
        <v>0</v>
      </c>
      <c r="K29" s="42"/>
      <c r="L29" s="42"/>
      <c r="M29" s="42"/>
      <c r="N29" s="42"/>
      <c r="O29" s="42"/>
      <c r="P29" s="42"/>
    </row>
    <row r="30" spans="1:16">
      <c r="A30" s="11">
        <v>21</v>
      </c>
      <c r="B30" s="11" t="s">
        <v>92</v>
      </c>
      <c r="C30" s="11" t="s">
        <v>17</v>
      </c>
      <c r="D30" s="11" t="s">
        <v>93</v>
      </c>
      <c r="E30" s="11" t="s">
        <v>94</v>
      </c>
      <c r="F30" s="42">
        <v>-1539742.0060000001</v>
      </c>
      <c r="G30" s="42">
        <v>241407543.6957421</v>
      </c>
      <c r="H30" s="42" t="s">
        <v>92</v>
      </c>
      <c r="I30" s="42">
        <v>241407543.6957421</v>
      </c>
      <c r="J30" s="42"/>
      <c r="K30" s="42">
        <v>1539742.0060000001</v>
      </c>
      <c r="L30" s="42"/>
      <c r="M30" s="42"/>
      <c r="N30" s="42"/>
      <c r="O30" s="42"/>
      <c r="P30" s="42"/>
    </row>
    <row r="31" spans="1:16" ht="24">
      <c r="A31" s="11">
        <v>22</v>
      </c>
      <c r="B31" s="11" t="s">
        <v>95</v>
      </c>
      <c r="C31" s="11" t="s">
        <v>17</v>
      </c>
      <c r="D31" s="11" t="s">
        <v>96</v>
      </c>
      <c r="E31" s="11" t="s">
        <v>97</v>
      </c>
      <c r="F31" s="42">
        <v>1435518.74</v>
      </c>
      <c r="G31" s="42">
        <v>242843062.43574211</v>
      </c>
      <c r="H31" s="42" t="s">
        <v>95</v>
      </c>
      <c r="I31" s="42">
        <v>241407543.6957421</v>
      </c>
      <c r="J31" s="42">
        <v>1435518.74</v>
      </c>
      <c r="K31" s="42"/>
      <c r="L31" s="42"/>
      <c r="M31" s="42"/>
      <c r="N31" s="42"/>
      <c r="O31" s="42"/>
      <c r="P31" s="42"/>
    </row>
    <row r="32" spans="1:16" ht="24">
      <c r="A32" s="11">
        <v>23</v>
      </c>
      <c r="B32" s="11" t="s">
        <v>98</v>
      </c>
      <c r="C32" s="11" t="s">
        <v>17</v>
      </c>
      <c r="D32" s="11" t="s">
        <v>99</v>
      </c>
      <c r="E32" s="11" t="s">
        <v>100</v>
      </c>
      <c r="F32" s="42">
        <v>445273.39</v>
      </c>
      <c r="G32" s="42">
        <v>243288335.8257421</v>
      </c>
      <c r="H32" s="42" t="s">
        <v>101</v>
      </c>
      <c r="I32" s="42">
        <v>242843062.43574211</v>
      </c>
      <c r="J32" s="42">
        <v>445273.39</v>
      </c>
      <c r="K32" s="42"/>
      <c r="L32" s="42"/>
      <c r="M32" s="42"/>
      <c r="N32" s="42"/>
      <c r="O32" s="42"/>
      <c r="P32" s="42"/>
    </row>
    <row r="33" spans="1:16" ht="36">
      <c r="A33" s="11">
        <v>24</v>
      </c>
      <c r="B33" s="11" t="s">
        <v>102</v>
      </c>
      <c r="C33" s="11" t="s">
        <v>5</v>
      </c>
      <c r="D33" s="11" t="s">
        <v>48</v>
      </c>
      <c r="E33" s="11" t="s">
        <v>103</v>
      </c>
      <c r="F33" s="42">
        <v>243288335.8257421</v>
      </c>
      <c r="G33" s="42">
        <v>243288335.8257421</v>
      </c>
      <c r="H33" s="42" t="s">
        <v>102</v>
      </c>
      <c r="I33" s="42"/>
      <c r="J33" s="42"/>
      <c r="K33" s="42"/>
      <c r="L33" s="42">
        <v>243288335.8257421</v>
      </c>
      <c r="M33" s="42"/>
      <c r="N33" s="42"/>
      <c r="O33" s="42" t="s">
        <v>12</v>
      </c>
      <c r="P33" s="42">
        <v>265346494.52593589</v>
      </c>
    </row>
    <row r="34" spans="1:16" ht="24">
      <c r="A34" s="11">
        <v>25</v>
      </c>
      <c r="B34" s="11" t="s">
        <v>104</v>
      </c>
      <c r="C34" s="11" t="s">
        <v>105</v>
      </c>
      <c r="D34" s="11" t="s">
        <v>106</v>
      </c>
      <c r="E34" s="11" t="s">
        <v>107</v>
      </c>
      <c r="F34" s="42">
        <v>100000</v>
      </c>
      <c r="G34" s="42">
        <v>243388335.8257421</v>
      </c>
      <c r="H34" s="42" t="s">
        <v>104</v>
      </c>
      <c r="I34" s="42">
        <v>243288335.8257421</v>
      </c>
      <c r="J34" s="42">
        <v>100000</v>
      </c>
      <c r="K34" s="42"/>
      <c r="L34" s="42"/>
      <c r="M34" s="42"/>
      <c r="N34" s="42"/>
      <c r="O34" s="42"/>
      <c r="P34" s="42"/>
    </row>
    <row r="35" spans="1:16">
      <c r="A35" s="11">
        <v>26</v>
      </c>
      <c r="B35" s="11" t="s">
        <v>108</v>
      </c>
      <c r="C35" s="11" t="s">
        <v>105</v>
      </c>
      <c r="D35" s="11" t="s">
        <v>109</v>
      </c>
      <c r="E35" s="11" t="s">
        <v>110</v>
      </c>
      <c r="F35" s="42">
        <v>20960529.809999999</v>
      </c>
      <c r="G35" s="42">
        <v>264348865.6357421</v>
      </c>
      <c r="H35" s="42" t="s">
        <v>111</v>
      </c>
      <c r="I35" s="42">
        <v>243388335.8257421</v>
      </c>
      <c r="J35" s="42">
        <v>20960529.809999999</v>
      </c>
      <c r="K35" s="42"/>
      <c r="L35" s="42"/>
      <c r="M35" s="42"/>
      <c r="N35" s="42"/>
      <c r="O35" s="42"/>
      <c r="P35" s="42"/>
    </row>
    <row r="36" spans="1:16">
      <c r="A36" s="11">
        <v>27</v>
      </c>
      <c r="B36" s="11" t="s">
        <v>112</v>
      </c>
      <c r="C36" s="11" t="s">
        <v>105</v>
      </c>
      <c r="D36" s="11" t="s">
        <v>109</v>
      </c>
      <c r="E36" s="11" t="s">
        <v>113</v>
      </c>
      <c r="F36" s="42">
        <v>997628.89019377599</v>
      </c>
      <c r="G36" s="42">
        <v>265346494.52593589</v>
      </c>
      <c r="H36" s="42" t="s">
        <v>111</v>
      </c>
      <c r="I36" s="42">
        <v>264348865.6357421</v>
      </c>
      <c r="J36" s="42">
        <v>997628.89019377599</v>
      </c>
      <c r="K36" s="42"/>
      <c r="L36" s="42"/>
      <c r="M36" s="42"/>
      <c r="N36" s="42"/>
      <c r="O36" s="42"/>
      <c r="P36" s="42"/>
    </row>
    <row r="37" spans="1:16">
      <c r="A37" s="43">
        <v>28</v>
      </c>
      <c r="B37" s="43" t="s">
        <v>12</v>
      </c>
      <c r="C37" s="43" t="s">
        <v>5</v>
      </c>
      <c r="D37" s="43" t="s">
        <v>5</v>
      </c>
      <c r="E37" s="43" t="s">
        <v>114</v>
      </c>
      <c r="F37" s="44">
        <v>265346494.52593589</v>
      </c>
      <c r="G37" s="44">
        <v>265346494.52593589</v>
      </c>
      <c r="H37" s="44" t="s">
        <v>12</v>
      </c>
      <c r="I37" s="44"/>
      <c r="J37" s="44"/>
      <c r="K37" s="44"/>
      <c r="L37" s="44">
        <v>265346494.52593589</v>
      </c>
      <c r="M37" s="44"/>
      <c r="N37" s="44"/>
      <c r="O37" s="44"/>
      <c r="P37" s="44"/>
    </row>
  </sheetData>
  <mergeCells count="2">
    <mergeCell ref="A1:P1"/>
    <mergeCell ref="A3:P3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6"/>
  <sheetViews>
    <sheetView showGridLines="0" tabSelected="1" workbookViewId="0">
      <selection activeCell="N27" sqref="N27"/>
    </sheetView>
  </sheetViews>
  <sheetFormatPr defaultRowHeight="13.9"/>
  <cols>
    <col min="1" max="1" width="16" customWidth="1"/>
    <col min="2" max="2" width="10" customWidth="1"/>
    <col min="3" max="3" width="13.625" customWidth="1"/>
    <col min="4" max="6" width="13" customWidth="1"/>
    <col min="7" max="7" width="14" customWidth="1"/>
    <col min="8" max="12" width="13" customWidth="1"/>
  </cols>
  <sheetData>
    <row r="1" spans="1:12" ht="19.899999999999999" customHeight="1">
      <c r="A1" s="59" t="s">
        <v>167</v>
      </c>
      <c r="B1" s="60"/>
      <c r="C1" s="60"/>
      <c r="D1" s="60"/>
      <c r="E1" s="60"/>
      <c r="F1" s="60"/>
      <c r="G1" s="60"/>
      <c r="H1" s="60"/>
      <c r="I1" s="60"/>
      <c r="J1" s="61"/>
      <c r="K1" s="1"/>
      <c r="L1" s="1"/>
    </row>
    <row r="2" spans="1:12" ht="14.45" thickBot="1">
      <c r="A2" s="36"/>
      <c r="B2" s="5"/>
      <c r="C2" s="5"/>
      <c r="D2" s="5"/>
      <c r="E2" s="5"/>
      <c r="F2" s="5"/>
      <c r="G2" s="5"/>
      <c r="H2" s="5"/>
      <c r="I2" s="2"/>
      <c r="J2" s="37"/>
      <c r="K2" s="1"/>
      <c r="L2" s="1"/>
    </row>
    <row r="3" spans="1:12">
      <c r="A3" s="26" t="s">
        <v>168</v>
      </c>
      <c r="B3" s="38"/>
      <c r="C3" s="26" t="s">
        <v>169</v>
      </c>
      <c r="D3" s="38"/>
      <c r="E3" s="26" t="s">
        <v>170</v>
      </c>
      <c r="F3" s="38"/>
      <c r="G3" s="26" t="s">
        <v>171</v>
      </c>
      <c r="H3" s="38"/>
      <c r="I3" s="2"/>
      <c r="J3" s="37"/>
      <c r="K3" s="1" t="s">
        <v>119</v>
      </c>
      <c r="L3" s="1" t="s">
        <v>32</v>
      </c>
    </row>
    <row r="4" spans="1:12" ht="14.45" thickBot="1">
      <c r="A4" s="32">
        <v>17602368.960000001</v>
      </c>
      <c r="B4" s="8"/>
      <c r="C4" s="32">
        <v>43429.560000000056</v>
      </c>
      <c r="D4" s="8"/>
      <c r="E4" s="32">
        <v>22058158.700193774</v>
      </c>
      <c r="F4" s="8"/>
      <c r="G4" s="32">
        <v>39703957.220193774</v>
      </c>
      <c r="H4" s="8"/>
      <c r="I4" s="2"/>
      <c r="J4" s="37"/>
      <c r="K4" s="1" t="s">
        <v>7</v>
      </c>
      <c r="L4" s="41">
        <v>17602368.960000001</v>
      </c>
    </row>
    <row r="5" spans="1:12">
      <c r="A5" s="36"/>
      <c r="B5" s="5"/>
      <c r="C5" s="5"/>
      <c r="D5" s="5"/>
      <c r="E5" s="5"/>
      <c r="F5" s="5"/>
      <c r="G5" s="5"/>
      <c r="H5" s="5"/>
      <c r="I5" s="2"/>
      <c r="J5" s="37"/>
      <c r="K5" s="1" t="s">
        <v>9</v>
      </c>
      <c r="L5" s="41">
        <v>43429.560000000056</v>
      </c>
    </row>
    <row r="6" spans="1:12" ht="14.45" thickBot="1">
      <c r="A6" s="36"/>
      <c r="B6" s="5"/>
      <c r="C6" s="5"/>
      <c r="D6" s="5"/>
      <c r="E6" s="5"/>
      <c r="F6" s="5"/>
      <c r="G6" s="5"/>
      <c r="H6" s="5"/>
      <c r="I6" s="2"/>
      <c r="J6" s="37"/>
      <c r="K6" s="1" t="s">
        <v>11</v>
      </c>
      <c r="L6" s="41">
        <v>22058158.700193774</v>
      </c>
    </row>
    <row r="7" spans="1:12">
      <c r="A7" s="26" t="s">
        <v>172</v>
      </c>
      <c r="B7" s="38"/>
      <c r="C7" s="26" t="s">
        <v>173</v>
      </c>
      <c r="D7" s="38"/>
      <c r="E7" s="26" t="s">
        <v>174</v>
      </c>
      <c r="F7" s="38"/>
      <c r="G7" s="26" t="s">
        <v>175</v>
      </c>
      <c r="H7" s="38"/>
      <c r="I7" s="2"/>
      <c r="J7" s="37"/>
      <c r="K7" s="1"/>
      <c r="L7" s="1"/>
    </row>
    <row r="8" spans="1:12" ht="14.45" thickBot="1">
      <c r="A8" s="31">
        <v>0</v>
      </c>
      <c r="B8" s="7"/>
      <c r="C8" s="33">
        <v>0.17595954067116135</v>
      </c>
      <c r="D8" s="9"/>
      <c r="E8" s="31"/>
      <c r="F8" s="7"/>
      <c r="G8" s="31"/>
      <c r="H8" s="7"/>
      <c r="I8" s="2"/>
      <c r="J8" s="37"/>
      <c r="K8" s="1"/>
      <c r="L8" s="1"/>
    </row>
    <row r="9" spans="1:12" ht="14.45" thickBot="1">
      <c r="A9" s="36"/>
      <c r="B9" s="5"/>
      <c r="C9" s="5"/>
      <c r="D9" s="5"/>
      <c r="E9" s="5"/>
      <c r="F9" s="5"/>
      <c r="G9" s="5"/>
      <c r="H9" s="5"/>
      <c r="I9" s="2"/>
      <c r="J9" s="37"/>
      <c r="K9" s="1"/>
      <c r="L9" s="1"/>
    </row>
    <row r="10" spans="1:12">
      <c r="A10" s="18" t="s">
        <v>176</v>
      </c>
      <c r="B10" s="19"/>
      <c r="C10" s="18" t="s">
        <v>146</v>
      </c>
      <c r="D10" s="19"/>
      <c r="E10" s="18" t="s">
        <v>177</v>
      </c>
      <c r="F10" s="19"/>
      <c r="G10" s="18" t="s">
        <v>178</v>
      </c>
      <c r="H10" s="19"/>
      <c r="I10" s="18" t="s">
        <v>179</v>
      </c>
      <c r="J10" s="19"/>
      <c r="K10" s="1"/>
      <c r="L10" s="1"/>
    </row>
    <row r="11" spans="1:12">
      <c r="A11" s="20">
        <v>24</v>
      </c>
      <c r="B11" s="27"/>
      <c r="C11" s="20">
        <v>4</v>
      </c>
      <c r="D11" s="27"/>
      <c r="E11" s="20">
        <v>17</v>
      </c>
      <c r="F11" s="27"/>
      <c r="G11" s="20">
        <v>3</v>
      </c>
      <c r="H11" s="27"/>
      <c r="I11" s="34">
        <v>21</v>
      </c>
      <c r="J11" s="21"/>
      <c r="K11" s="1"/>
      <c r="L11" s="1"/>
    </row>
    <row r="12" spans="1:12" ht="14.45" thickBot="1">
      <c r="A12" s="22"/>
      <c r="B12" s="28"/>
      <c r="C12" s="22"/>
      <c r="D12" s="28"/>
      <c r="E12" s="22"/>
      <c r="F12" s="28"/>
      <c r="G12" s="22"/>
      <c r="H12" s="28"/>
      <c r="I12" s="35"/>
      <c r="J12" s="25"/>
      <c r="K12" s="1"/>
      <c r="L12" s="1"/>
    </row>
    <row r="13" spans="1:12" ht="14.45" thickBot="1">
      <c r="A13" s="29" t="s">
        <v>180</v>
      </c>
      <c r="B13" s="30"/>
      <c r="C13" s="10"/>
      <c r="D13" s="10"/>
      <c r="E13" s="10"/>
      <c r="F13" s="10"/>
      <c r="G13" s="10"/>
      <c r="H13" s="10"/>
      <c r="I13" s="10"/>
      <c r="J13" s="39"/>
      <c r="K13" s="1"/>
      <c r="L13" s="1"/>
    </row>
    <row r="14" spans="1:12">
      <c r="A14" s="62" t="s">
        <v>119</v>
      </c>
      <c r="B14" s="63" t="s">
        <v>140</v>
      </c>
      <c r="C14" s="5"/>
      <c r="D14" s="5"/>
      <c r="E14" s="5"/>
      <c r="F14" s="5"/>
      <c r="G14" s="5"/>
      <c r="H14" s="5"/>
      <c r="I14" s="2"/>
      <c r="J14" s="37"/>
      <c r="K14" s="1"/>
      <c r="L14" s="1"/>
    </row>
    <row r="15" spans="1:12">
      <c r="A15" s="36" t="s">
        <v>7</v>
      </c>
      <c r="B15" s="5">
        <v>4</v>
      </c>
      <c r="C15" s="5"/>
      <c r="D15" s="5"/>
      <c r="E15" s="5"/>
      <c r="F15" s="5"/>
      <c r="G15" s="5"/>
      <c r="H15" s="5"/>
      <c r="I15" s="2"/>
      <c r="J15" s="37"/>
      <c r="K15" s="1"/>
      <c r="L15" s="1"/>
    </row>
    <row r="16" spans="1:12">
      <c r="A16" s="36" t="s">
        <v>136</v>
      </c>
      <c r="B16" s="5">
        <v>17</v>
      </c>
      <c r="C16" s="5"/>
      <c r="D16" s="5"/>
      <c r="E16" s="5"/>
      <c r="F16" s="5"/>
      <c r="G16" s="5"/>
      <c r="H16" s="5"/>
      <c r="I16" s="2"/>
      <c r="J16" s="37"/>
      <c r="K16" s="1"/>
      <c r="L16" s="1"/>
    </row>
    <row r="17" spans="1:12">
      <c r="A17" s="36" t="s">
        <v>11</v>
      </c>
      <c r="B17" s="5">
        <v>3</v>
      </c>
      <c r="C17" s="5"/>
      <c r="D17" s="5"/>
      <c r="E17" s="5"/>
      <c r="F17" s="5"/>
      <c r="G17" s="5"/>
      <c r="H17" s="5"/>
      <c r="I17" s="2"/>
      <c r="J17" s="37"/>
      <c r="K17" s="1"/>
      <c r="L17" s="1"/>
    </row>
    <row r="18" spans="1:12">
      <c r="A18" s="36" t="s">
        <v>181</v>
      </c>
      <c r="B18" s="5">
        <v>24</v>
      </c>
      <c r="C18" s="5"/>
      <c r="D18" s="5"/>
      <c r="E18" s="5"/>
      <c r="F18" s="5"/>
      <c r="G18" s="5"/>
      <c r="H18" s="5"/>
      <c r="I18" s="2"/>
      <c r="J18" s="37"/>
      <c r="K18" s="1"/>
      <c r="L18" s="1"/>
    </row>
    <row r="19" spans="1:12">
      <c r="A19" s="36"/>
      <c r="B19" s="5"/>
      <c r="C19" s="5"/>
      <c r="D19" s="5"/>
      <c r="E19" s="5"/>
      <c r="F19" s="5"/>
      <c r="G19" s="5"/>
      <c r="H19" s="5"/>
      <c r="I19" s="2"/>
      <c r="J19" s="37"/>
      <c r="K19" s="1"/>
      <c r="L19" s="1"/>
    </row>
    <row r="20" spans="1:12">
      <c r="A20" s="36"/>
      <c r="B20" s="5"/>
      <c r="C20" s="5"/>
      <c r="D20" s="5"/>
      <c r="E20" s="5"/>
      <c r="F20" s="5"/>
      <c r="G20" s="5"/>
      <c r="H20" s="5"/>
      <c r="I20" s="2"/>
      <c r="J20" s="37"/>
      <c r="K20" s="1"/>
      <c r="L20" s="1"/>
    </row>
    <row r="21" spans="1:12">
      <c r="A21" s="36"/>
      <c r="B21" s="5"/>
      <c r="C21" s="5"/>
      <c r="D21" s="5"/>
      <c r="E21" s="5"/>
      <c r="F21" s="5"/>
      <c r="G21" s="5"/>
      <c r="H21" s="5"/>
      <c r="I21" s="2"/>
      <c r="J21" s="37"/>
      <c r="K21" s="1"/>
      <c r="L21" s="1"/>
    </row>
    <row r="22" spans="1:12">
      <c r="A22" s="36"/>
      <c r="B22" s="5"/>
      <c r="C22" s="5"/>
      <c r="D22" s="5"/>
      <c r="E22" s="5"/>
      <c r="F22" s="5"/>
      <c r="G22" s="5"/>
      <c r="H22" s="5"/>
      <c r="I22" s="2"/>
      <c r="J22" s="37"/>
      <c r="K22" s="1"/>
      <c r="L22" s="1"/>
    </row>
    <row r="23" spans="1:12">
      <c r="A23" s="36"/>
      <c r="B23" s="5"/>
      <c r="C23" s="5"/>
      <c r="D23" s="5"/>
      <c r="E23" s="5"/>
      <c r="F23" s="5"/>
      <c r="G23" s="5"/>
      <c r="H23" s="5"/>
      <c r="I23" s="2"/>
      <c r="J23" s="37"/>
      <c r="K23" s="1"/>
      <c r="L23" s="1"/>
    </row>
    <row r="24" spans="1:12">
      <c r="A24" s="36"/>
      <c r="B24" s="5"/>
      <c r="C24" s="5"/>
      <c r="D24" s="5"/>
      <c r="E24" s="5"/>
      <c r="F24" s="5"/>
      <c r="G24" s="5"/>
      <c r="H24" s="5"/>
      <c r="I24" s="2"/>
      <c r="J24" s="37"/>
      <c r="K24" s="1"/>
      <c r="L24" s="1"/>
    </row>
    <row r="25" spans="1:12" ht="14.45" thickBot="1">
      <c r="A25" s="22"/>
      <c r="B25" s="23"/>
      <c r="C25" s="23"/>
      <c r="D25" s="23"/>
      <c r="E25" s="23"/>
      <c r="F25" s="23"/>
      <c r="G25" s="23"/>
      <c r="H25" s="23"/>
      <c r="I25" s="24"/>
      <c r="J25" s="25"/>
      <c r="K25" s="1"/>
      <c r="L25" s="1"/>
    </row>
    <row r="26" spans="1:12">
      <c r="A26" s="4"/>
      <c r="B26" s="4"/>
      <c r="C26" s="4"/>
      <c r="D26" s="4"/>
      <c r="E26" s="4"/>
      <c r="F26" s="4"/>
      <c r="G26" s="4"/>
      <c r="H26" s="4"/>
      <c r="I26" s="1"/>
      <c r="J26" s="1"/>
      <c r="K26" s="1"/>
      <c r="L26" s="1"/>
    </row>
    <row r="27" spans="1:12">
      <c r="A27" s="4"/>
      <c r="B27" s="4"/>
      <c r="C27" s="4"/>
      <c r="D27" s="4"/>
      <c r="E27" s="4"/>
      <c r="F27" s="4"/>
      <c r="G27" s="4"/>
      <c r="H27" s="4"/>
      <c r="I27" s="1"/>
      <c r="J27" s="1"/>
      <c r="K27" s="1"/>
      <c r="L27" s="1"/>
    </row>
    <row r="28" spans="1:12">
      <c r="A28" s="4"/>
      <c r="B28" s="4"/>
      <c r="C28" s="4"/>
      <c r="D28" s="4"/>
      <c r="E28" s="4"/>
      <c r="F28" s="4"/>
      <c r="G28" s="4"/>
      <c r="H28" s="4"/>
      <c r="I28" s="1"/>
      <c r="J28" s="1"/>
      <c r="K28" s="1"/>
      <c r="L28" s="1"/>
    </row>
    <row r="29" spans="1:12">
      <c r="A29" s="4"/>
      <c r="B29" s="4"/>
      <c r="C29" s="4"/>
      <c r="D29" s="4"/>
      <c r="E29" s="4"/>
      <c r="F29" s="4"/>
      <c r="G29" s="4"/>
      <c r="H29" s="4"/>
      <c r="I29" s="1"/>
      <c r="J29" s="1"/>
      <c r="K29" s="1"/>
      <c r="L29" s="1"/>
    </row>
    <row r="30" spans="1:12">
      <c r="A30" s="64" t="s">
        <v>139</v>
      </c>
      <c r="B30" s="64" t="s">
        <v>140</v>
      </c>
      <c r="C30" s="4"/>
      <c r="D30" s="4"/>
      <c r="E30" s="4"/>
      <c r="F30" s="4"/>
      <c r="G30" s="4"/>
      <c r="H30" s="4"/>
      <c r="I30" s="1"/>
      <c r="J30" s="1"/>
      <c r="K30" s="1"/>
      <c r="L30" s="1"/>
    </row>
    <row r="31" spans="1:12">
      <c r="A31" s="4" t="s">
        <v>182</v>
      </c>
      <c r="B31" s="4">
        <v>17</v>
      </c>
      <c r="C31" s="4"/>
      <c r="D31" s="4"/>
      <c r="E31" s="4"/>
      <c r="F31" s="4"/>
      <c r="G31" s="4"/>
      <c r="H31" s="4"/>
      <c r="I31" s="1"/>
      <c r="J31" s="1"/>
      <c r="K31" s="1"/>
      <c r="L31" s="1"/>
    </row>
    <row r="32" spans="1:12">
      <c r="A32" s="4" t="s">
        <v>144</v>
      </c>
      <c r="B32" s="4">
        <v>17</v>
      </c>
      <c r="C32" s="4"/>
      <c r="D32" s="4"/>
      <c r="E32" s="4"/>
      <c r="F32" s="4"/>
      <c r="G32" s="4"/>
      <c r="H32" s="4"/>
      <c r="I32" s="1"/>
      <c r="J32" s="1"/>
      <c r="K32" s="1"/>
      <c r="L32" s="1"/>
    </row>
    <row r="33" spans="1:12">
      <c r="A33" s="4" t="s">
        <v>155</v>
      </c>
      <c r="B33" s="4">
        <v>14</v>
      </c>
      <c r="C33" s="4"/>
      <c r="D33" s="4"/>
      <c r="E33" s="4"/>
      <c r="F33" s="4"/>
      <c r="G33" s="4"/>
      <c r="H33" s="4"/>
      <c r="I33" s="1"/>
      <c r="J33" s="1"/>
      <c r="K33" s="1"/>
      <c r="L33" s="1"/>
    </row>
    <row r="34" spans="1:12">
      <c r="A34" s="4" t="s">
        <v>183</v>
      </c>
      <c r="B34" s="4">
        <v>0</v>
      </c>
      <c r="C34" s="4"/>
      <c r="D34" s="4"/>
      <c r="E34" s="4"/>
      <c r="F34" s="4"/>
      <c r="G34" s="4"/>
      <c r="H34" s="4"/>
      <c r="I34" s="1"/>
      <c r="J34" s="1"/>
      <c r="K34" s="1"/>
      <c r="L34" s="1"/>
    </row>
    <row r="35" spans="1:12">
      <c r="A35" s="4" t="s">
        <v>184</v>
      </c>
      <c r="B35" s="4">
        <v>0</v>
      </c>
      <c r="C35" s="4"/>
      <c r="D35" s="4"/>
      <c r="E35" s="4"/>
      <c r="F35" s="4"/>
      <c r="G35" s="4"/>
      <c r="H35" s="4"/>
      <c r="I35" s="1"/>
      <c r="J35" s="1"/>
      <c r="K35" s="1"/>
      <c r="L35" s="1"/>
    </row>
    <row r="36" spans="1:12">
      <c r="A36" s="4" t="s">
        <v>144</v>
      </c>
      <c r="B36" s="4">
        <v>24</v>
      </c>
      <c r="C36" s="4"/>
      <c r="D36" s="4"/>
      <c r="E36" s="4"/>
      <c r="F36" s="4"/>
      <c r="G36" s="4"/>
      <c r="H36" s="4"/>
      <c r="I36" s="1"/>
      <c r="J36" s="1"/>
      <c r="K36" s="1"/>
      <c r="L36" s="1"/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workbookViewId="0"/>
  </sheetViews>
  <sheetFormatPr defaultRowHeight="13.9"/>
  <cols>
    <col min="1" max="1" width="13.75" customWidth="1"/>
    <col min="2" max="2" width="16.375" customWidth="1"/>
    <col min="3" max="3" width="9.375" customWidth="1"/>
    <col min="4" max="4" width="17.875" customWidth="1"/>
  </cols>
  <sheetData>
    <row r="1" spans="1:5">
      <c r="A1" s="50" t="s">
        <v>116</v>
      </c>
      <c r="B1" s="51" t="s">
        <v>150</v>
      </c>
      <c r="C1" s="51" t="s">
        <v>185</v>
      </c>
      <c r="D1" s="51" t="s">
        <v>186</v>
      </c>
      <c r="E1" s="15"/>
    </row>
    <row r="2" spans="1:5">
      <c r="A2" s="1" t="s">
        <v>127</v>
      </c>
      <c r="B2" s="1">
        <v>24</v>
      </c>
      <c r="C2" s="1">
        <v>39703957.220193774</v>
      </c>
      <c r="D2" s="1">
        <v>21</v>
      </c>
    </row>
    <row r="3" spans="1:5">
      <c r="A3" s="1" t="s">
        <v>187</v>
      </c>
      <c r="B3" s="1">
        <v>0</v>
      </c>
      <c r="C3" s="1">
        <v>0</v>
      </c>
      <c r="D3" s="1">
        <v>0</v>
      </c>
    </row>
    <row r="4" spans="1:5">
      <c r="A4" s="1"/>
      <c r="B4" s="1" t="s">
        <v>7</v>
      </c>
      <c r="C4" s="1" t="s">
        <v>136</v>
      </c>
      <c r="D4" s="1" t="s">
        <v>144</v>
      </c>
    </row>
    <row r="5" spans="1:5">
      <c r="A5" s="1" t="s">
        <v>139</v>
      </c>
      <c r="B5" s="1"/>
      <c r="C5" s="1"/>
      <c r="D5" s="1" t="s">
        <v>144</v>
      </c>
    </row>
    <row r="6" spans="1:5">
      <c r="A6" s="1" t="s">
        <v>127</v>
      </c>
      <c r="B6" s="1">
        <v>10626000</v>
      </c>
      <c r="C6" s="1">
        <v>-401843.83000000031</v>
      </c>
      <c r="D6" s="1">
        <v>10224156.170000004</v>
      </c>
    </row>
    <row r="7" spans="1:5">
      <c r="A7" s="1" t="s">
        <v>144</v>
      </c>
      <c r="B7" s="1">
        <v>10626000</v>
      </c>
      <c r="C7" s="1">
        <v>-401843.83000000031</v>
      </c>
      <c r="D7" s="1">
        <v>10224156.170000004</v>
      </c>
    </row>
    <row r="8" spans="1:5">
      <c r="A8" s="1"/>
      <c r="B8" s="1"/>
      <c r="C8" s="1"/>
      <c r="D8" s="1"/>
    </row>
    <row r="9" spans="1:5">
      <c r="A9" s="1"/>
      <c r="B9" s="1"/>
      <c r="C9" s="1"/>
      <c r="D9" s="1"/>
    </row>
    <row r="10" spans="1:5">
      <c r="A10" s="1"/>
      <c r="B10" s="1"/>
      <c r="C10" s="1"/>
      <c r="D10" s="1"/>
    </row>
    <row r="11" spans="1:5">
      <c r="A11" s="1"/>
      <c r="B11" s="1"/>
      <c r="C11" s="1"/>
      <c r="D11" s="1"/>
    </row>
    <row r="12" spans="1:5">
      <c r="A12" s="1" t="s">
        <v>125</v>
      </c>
      <c r="B12" s="1" t="s">
        <v>156</v>
      </c>
      <c r="C12" s="1"/>
      <c r="D12" s="1"/>
    </row>
    <row r="13" spans="1:5">
      <c r="A13" s="1"/>
      <c r="B13" s="1"/>
      <c r="C13" s="1"/>
      <c r="D13" s="1"/>
    </row>
    <row r="14" spans="1:5">
      <c r="A14" s="1" t="s">
        <v>139</v>
      </c>
      <c r="B14" s="1" t="s">
        <v>141</v>
      </c>
      <c r="C14" s="1"/>
      <c r="D14" s="1"/>
    </row>
    <row r="15" spans="1:5">
      <c r="A15" s="1" t="s">
        <v>127</v>
      </c>
      <c r="B15" s="1">
        <v>10224156.170000004</v>
      </c>
      <c r="C15" s="1"/>
      <c r="D15" s="1"/>
    </row>
    <row r="16" spans="1:5">
      <c r="A16" s="1" t="s">
        <v>144</v>
      </c>
      <c r="B16" s="1">
        <v>10224156.170000004</v>
      </c>
      <c r="C16" s="1"/>
      <c r="D1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/>
  </sheetViews>
  <sheetFormatPr defaultRowHeight="13.9"/>
  <cols>
    <col min="1" max="1" width="13.75" customWidth="1"/>
    <col min="2" max="2" width="16.375" customWidth="1"/>
    <col min="3" max="3" width="9.375" customWidth="1"/>
    <col min="4" max="4" width="11.25" customWidth="1"/>
    <col min="5" max="5" width="4.25" customWidth="1"/>
  </cols>
  <sheetData>
    <row r="1" spans="1:5">
      <c r="A1" s="50" t="s">
        <v>118</v>
      </c>
      <c r="B1" s="51" t="s">
        <v>150</v>
      </c>
      <c r="C1" s="51" t="s">
        <v>185</v>
      </c>
      <c r="D1" s="51" t="s">
        <v>188</v>
      </c>
      <c r="E1" s="51" t="s">
        <v>126</v>
      </c>
    </row>
    <row r="2" spans="1:5">
      <c r="A2" s="1" t="s">
        <v>129</v>
      </c>
      <c r="B2" s="1">
        <v>16</v>
      </c>
      <c r="C2" s="1">
        <v>8788637.4300000034</v>
      </c>
      <c r="D2" s="1">
        <v>16</v>
      </c>
      <c r="E2" s="1"/>
    </row>
    <row r="3" spans="1:5">
      <c r="A3" s="1"/>
      <c r="B3" s="1" t="s">
        <v>7</v>
      </c>
      <c r="C3" s="1" t="s">
        <v>136</v>
      </c>
      <c r="D3" s="1" t="s">
        <v>144</v>
      </c>
      <c r="E3" s="1"/>
    </row>
    <row r="4" spans="1:5">
      <c r="A4" s="1" t="s">
        <v>139</v>
      </c>
      <c r="B4" s="1"/>
      <c r="C4" s="1"/>
      <c r="D4" s="1" t="s">
        <v>144</v>
      </c>
      <c r="E4" s="1"/>
    </row>
    <row r="5" spans="1:5">
      <c r="A5" s="1" t="s">
        <v>161</v>
      </c>
      <c r="B5" s="1">
        <v>0</v>
      </c>
      <c r="C5" s="1">
        <v>1435518.74</v>
      </c>
      <c r="D5" s="1">
        <v>1435518.74</v>
      </c>
      <c r="E5" s="1"/>
    </row>
    <row r="6" spans="1:5">
      <c r="A6" s="1" t="s">
        <v>129</v>
      </c>
      <c r="B6" s="1">
        <v>10626000</v>
      </c>
      <c r="C6" s="1">
        <v>-1837362.5700000003</v>
      </c>
      <c r="D6" s="1">
        <v>8788637.4300000034</v>
      </c>
      <c r="E6" s="1"/>
    </row>
    <row r="7" spans="1:5">
      <c r="A7" s="1" t="s">
        <v>144</v>
      </c>
      <c r="B7" s="1">
        <v>10626000</v>
      </c>
      <c r="C7" s="1">
        <v>-401843.83000000031</v>
      </c>
      <c r="D7" s="1">
        <v>10224156.170000004</v>
      </c>
      <c r="E7" s="1"/>
    </row>
    <row r="8" spans="1:5">
      <c r="A8" s="1" t="s">
        <v>144</v>
      </c>
      <c r="B8" s="1">
        <v>24</v>
      </c>
      <c r="C8" s="1">
        <v>39703957.220193774</v>
      </c>
      <c r="D8" s="1">
        <v>21</v>
      </c>
      <c r="E8" s="1"/>
    </row>
    <row r="9" spans="1:5">
      <c r="A9" s="1"/>
      <c r="B9" s="1"/>
      <c r="C9" s="1"/>
      <c r="D9" s="1"/>
      <c r="E9" s="1"/>
    </row>
    <row r="10" spans="1:5">
      <c r="A10" s="1" t="s">
        <v>125</v>
      </c>
      <c r="B10" s="1" t="s">
        <v>156</v>
      </c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 t="s">
        <v>139</v>
      </c>
      <c r="B12" s="1" t="s">
        <v>141</v>
      </c>
      <c r="C12" s="1"/>
      <c r="D12" s="1"/>
      <c r="E12" s="1"/>
    </row>
    <row r="13" spans="1:5">
      <c r="A13" s="1" t="s">
        <v>161</v>
      </c>
      <c r="B13" s="1">
        <v>1435518.74</v>
      </c>
      <c r="C13" s="1"/>
      <c r="D13" s="1"/>
      <c r="E13" s="1"/>
    </row>
    <row r="14" spans="1:5">
      <c r="A14" s="1" t="s">
        <v>129</v>
      </c>
      <c r="B14" s="1">
        <v>8788637.4300000034</v>
      </c>
      <c r="C14" s="1"/>
      <c r="D14" s="1"/>
      <c r="E14" s="1"/>
    </row>
    <row r="15" spans="1:5">
      <c r="A15" s="1" t="s">
        <v>144</v>
      </c>
      <c r="B15" s="1">
        <v>10224156.170000004</v>
      </c>
      <c r="C15" s="1"/>
      <c r="D15" s="1"/>
      <c r="E1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25"/>
  <sheetViews>
    <sheetView workbookViewId="0"/>
  </sheetViews>
  <sheetFormatPr defaultRowHeight="13.9"/>
  <cols>
    <col min="1" max="1" width="18" customWidth="1"/>
    <col min="2" max="2" width="8.625" customWidth="1"/>
    <col min="3" max="4" width="12" customWidth="1"/>
    <col min="5" max="5" width="16.25" customWidth="1"/>
    <col min="6" max="6" width="35.125" customWidth="1"/>
    <col min="7" max="7" width="45" customWidth="1"/>
    <col min="8" max="8" width="5.25" customWidth="1"/>
    <col min="9" max="9" width="9" customWidth="1"/>
    <col min="10" max="10" width="14" customWidth="1"/>
    <col min="11" max="11" width="10.625" customWidth="1"/>
    <col min="12" max="12" width="11.25" customWidth="1"/>
    <col min="13" max="13" width="10.75" customWidth="1"/>
    <col min="14" max="14" width="10" customWidth="1"/>
    <col min="15" max="15" width="11.25" customWidth="1"/>
    <col min="16" max="16" width="10" customWidth="1"/>
    <col min="17" max="17" width="14" customWidth="1"/>
    <col min="18" max="18" width="12.75" customWidth="1"/>
    <col min="19" max="19" width="15.25" customWidth="1"/>
    <col min="20" max="20" width="13.625" customWidth="1"/>
    <col min="21" max="21" width="13.75" customWidth="1"/>
    <col min="22" max="22" width="8.625" customWidth="1"/>
    <col min="23" max="23" width="11.25" customWidth="1"/>
    <col min="24" max="24" width="14.875" customWidth="1"/>
    <col min="25" max="25" width="10.125" customWidth="1"/>
    <col min="26" max="26" width="6.25" customWidth="1"/>
    <col min="27" max="27" width="7.5" customWidth="1"/>
  </cols>
  <sheetData>
    <row r="1" spans="1:27" ht="30" customHeight="1">
      <c r="A1" s="65" t="s">
        <v>115</v>
      </c>
      <c r="B1" s="65" t="s">
        <v>116</v>
      </c>
      <c r="C1" s="65" t="s">
        <v>117</v>
      </c>
      <c r="D1" s="65" t="s">
        <v>118</v>
      </c>
      <c r="E1" s="65" t="s">
        <v>189</v>
      </c>
      <c r="F1" s="65" t="s">
        <v>190</v>
      </c>
      <c r="G1" s="65" t="s">
        <v>23</v>
      </c>
      <c r="H1" s="65" t="s">
        <v>191</v>
      </c>
      <c r="I1" s="65" t="s">
        <v>192</v>
      </c>
      <c r="J1" s="65" t="s">
        <v>119</v>
      </c>
      <c r="K1" s="66" t="s">
        <v>193</v>
      </c>
      <c r="L1" s="66" t="s">
        <v>194</v>
      </c>
      <c r="M1" s="66" t="s">
        <v>120</v>
      </c>
      <c r="N1" s="67" t="s">
        <v>195</v>
      </c>
      <c r="O1" s="67" t="s">
        <v>121</v>
      </c>
      <c r="P1" s="67" t="s">
        <v>196</v>
      </c>
      <c r="Q1" s="65" t="s">
        <v>125</v>
      </c>
      <c r="R1" s="65" t="s">
        <v>122</v>
      </c>
      <c r="S1" s="65" t="s">
        <v>197</v>
      </c>
      <c r="T1" s="65" t="s">
        <v>198</v>
      </c>
      <c r="U1" s="65" t="s">
        <v>199</v>
      </c>
      <c r="V1" s="65" t="s">
        <v>200</v>
      </c>
      <c r="W1" s="65" t="s">
        <v>201</v>
      </c>
      <c r="X1" s="65" t="s">
        <v>123</v>
      </c>
      <c r="Y1" s="66" t="s">
        <v>124</v>
      </c>
      <c r="Z1" s="65" t="s">
        <v>202</v>
      </c>
      <c r="AA1" s="65" t="s">
        <v>203</v>
      </c>
    </row>
    <row r="2" spans="1:27">
      <c r="A2" s="1" t="s">
        <v>36</v>
      </c>
      <c r="B2" s="1" t="s">
        <v>127</v>
      </c>
      <c r="C2" s="1" t="s">
        <v>128</v>
      </c>
      <c r="D2" s="1" t="s">
        <v>129</v>
      </c>
      <c r="E2" s="1" t="s">
        <v>182</v>
      </c>
      <c r="F2" s="1" t="s">
        <v>36</v>
      </c>
      <c r="G2" s="1" t="s">
        <v>37</v>
      </c>
      <c r="H2" s="1" t="s">
        <v>118</v>
      </c>
      <c r="I2" s="1" t="s">
        <v>157</v>
      </c>
      <c r="J2" s="1" t="s">
        <v>7</v>
      </c>
      <c r="K2" s="1">
        <v>46100</v>
      </c>
      <c r="L2" s="1">
        <v>46100</v>
      </c>
      <c r="M2" s="1">
        <v>46141</v>
      </c>
      <c r="N2" s="1">
        <v>10626000</v>
      </c>
      <c r="O2" s="1">
        <v>10626000</v>
      </c>
      <c r="P2" s="1">
        <v>10626000</v>
      </c>
      <c r="Q2" s="3" t="b">
        <v>1</v>
      </c>
      <c r="R2" s="1" t="s">
        <v>7</v>
      </c>
      <c r="S2" s="1">
        <v>0</v>
      </c>
      <c r="T2" s="3" t="b">
        <v>0</v>
      </c>
      <c r="U2" s="1"/>
      <c r="V2" s="1"/>
      <c r="W2" s="1" t="s">
        <v>204</v>
      </c>
      <c r="X2" s="1" t="s">
        <v>130</v>
      </c>
      <c r="Y2" s="1">
        <v>46141</v>
      </c>
      <c r="Z2" s="1">
        <v>53</v>
      </c>
      <c r="AA2" s="1">
        <v>1</v>
      </c>
    </row>
    <row r="3" spans="1:27">
      <c r="A3" s="1" t="s">
        <v>51</v>
      </c>
      <c r="B3" s="1" t="s">
        <v>127</v>
      </c>
      <c r="C3" s="1" t="s">
        <v>159</v>
      </c>
      <c r="D3" s="1" t="s">
        <v>129</v>
      </c>
      <c r="E3" s="1" t="s">
        <v>182</v>
      </c>
      <c r="F3" s="1" t="s">
        <v>51</v>
      </c>
      <c r="G3" s="1" t="s">
        <v>52</v>
      </c>
      <c r="H3" s="1" t="s">
        <v>118</v>
      </c>
      <c r="I3" s="1" t="s">
        <v>157</v>
      </c>
      <c r="J3" s="1" t="s">
        <v>136</v>
      </c>
      <c r="K3" s="1">
        <v>46105</v>
      </c>
      <c r="L3" s="1">
        <v>46105</v>
      </c>
      <c r="M3" s="1"/>
      <c r="N3" s="1">
        <v>-1864562.9839999999</v>
      </c>
      <c r="O3" s="1">
        <v>-1864562.9839999999</v>
      </c>
      <c r="P3" s="1">
        <v>-1864562.9839999999</v>
      </c>
      <c r="Q3" s="3" t="b">
        <v>1</v>
      </c>
      <c r="R3" s="1" t="s">
        <v>9</v>
      </c>
      <c r="S3" s="1">
        <v>0</v>
      </c>
      <c r="T3" s="3" t="b">
        <v>0</v>
      </c>
      <c r="U3" s="1"/>
      <c r="V3" s="1"/>
      <c r="W3" s="1" t="s">
        <v>205</v>
      </c>
      <c r="X3" s="1" t="s">
        <v>130</v>
      </c>
      <c r="Y3" s="1">
        <v>46141</v>
      </c>
      <c r="Z3" s="1">
        <v>36</v>
      </c>
      <c r="AA3" s="1">
        <v>1</v>
      </c>
    </row>
    <row r="4" spans="1:27">
      <c r="A4" s="1" t="s">
        <v>54</v>
      </c>
      <c r="B4" s="1" t="s">
        <v>127</v>
      </c>
      <c r="C4" s="1" t="s">
        <v>159</v>
      </c>
      <c r="D4" s="1" t="s">
        <v>129</v>
      </c>
      <c r="E4" s="1" t="s">
        <v>182</v>
      </c>
      <c r="F4" s="1" t="s">
        <v>54</v>
      </c>
      <c r="G4" s="1" t="s">
        <v>55</v>
      </c>
      <c r="H4" s="1" t="s">
        <v>118</v>
      </c>
      <c r="I4" s="1" t="s">
        <v>158</v>
      </c>
      <c r="J4" s="1" t="s">
        <v>136</v>
      </c>
      <c r="K4" s="1">
        <v>46107</v>
      </c>
      <c r="L4" s="1">
        <v>46107</v>
      </c>
      <c r="M4" s="1"/>
      <c r="N4" s="1">
        <v>129440.9</v>
      </c>
      <c r="O4" s="1">
        <v>129440.9</v>
      </c>
      <c r="P4" s="1">
        <v>129440.9</v>
      </c>
      <c r="Q4" s="3" t="b">
        <v>1</v>
      </c>
      <c r="R4" s="1" t="s">
        <v>9</v>
      </c>
      <c r="S4" s="1">
        <v>0</v>
      </c>
      <c r="T4" s="3" t="b">
        <v>0</v>
      </c>
      <c r="U4" s="1"/>
      <c r="V4" s="1"/>
      <c r="W4" s="1" t="s">
        <v>206</v>
      </c>
      <c r="X4" s="1" t="s">
        <v>130</v>
      </c>
      <c r="Y4" s="1">
        <v>46141</v>
      </c>
      <c r="Z4" s="1">
        <v>34</v>
      </c>
      <c r="AA4" s="1">
        <v>1</v>
      </c>
    </row>
    <row r="5" spans="1:27">
      <c r="A5" s="1" t="s">
        <v>57</v>
      </c>
      <c r="B5" s="1" t="s">
        <v>127</v>
      </c>
      <c r="C5" s="1" t="s">
        <v>159</v>
      </c>
      <c r="D5" s="1" t="s">
        <v>129</v>
      </c>
      <c r="E5" s="1" t="s">
        <v>182</v>
      </c>
      <c r="F5" s="1" t="s">
        <v>57</v>
      </c>
      <c r="G5" s="1" t="s">
        <v>58</v>
      </c>
      <c r="H5" s="1" t="s">
        <v>118</v>
      </c>
      <c r="I5" s="1" t="s">
        <v>158</v>
      </c>
      <c r="J5" s="1" t="s">
        <v>136</v>
      </c>
      <c r="K5" s="1">
        <v>46105</v>
      </c>
      <c r="L5" s="1">
        <v>46105</v>
      </c>
      <c r="M5" s="1"/>
      <c r="N5" s="1">
        <v>123900.7</v>
      </c>
      <c r="O5" s="1">
        <v>123900.7</v>
      </c>
      <c r="P5" s="1">
        <v>123900.7</v>
      </c>
      <c r="Q5" s="3" t="b">
        <v>1</v>
      </c>
      <c r="R5" s="1" t="s">
        <v>9</v>
      </c>
      <c r="S5" s="1">
        <v>0</v>
      </c>
      <c r="T5" s="3" t="b">
        <v>0</v>
      </c>
      <c r="U5" s="1"/>
      <c r="V5" s="1"/>
      <c r="W5" s="1" t="s">
        <v>207</v>
      </c>
      <c r="X5" s="1" t="s">
        <v>130</v>
      </c>
      <c r="Y5" s="1">
        <v>46141</v>
      </c>
      <c r="Z5" s="1">
        <v>36</v>
      </c>
      <c r="AA5" s="1">
        <v>1</v>
      </c>
    </row>
    <row r="6" spans="1:27">
      <c r="A6" s="1" t="s">
        <v>60</v>
      </c>
      <c r="B6" s="1" t="s">
        <v>127</v>
      </c>
      <c r="C6" s="1" t="s">
        <v>159</v>
      </c>
      <c r="D6" s="1" t="s">
        <v>129</v>
      </c>
      <c r="E6" s="1" t="s">
        <v>182</v>
      </c>
      <c r="F6" s="1" t="s">
        <v>60</v>
      </c>
      <c r="G6" s="1" t="s">
        <v>61</v>
      </c>
      <c r="H6" s="1" t="s">
        <v>118</v>
      </c>
      <c r="I6" s="1" t="s">
        <v>158</v>
      </c>
      <c r="J6" s="1" t="s">
        <v>136</v>
      </c>
      <c r="K6" s="1">
        <v>46105</v>
      </c>
      <c r="L6" s="1">
        <v>46105</v>
      </c>
      <c r="M6" s="1"/>
      <c r="N6" s="1">
        <v>54891.4</v>
      </c>
      <c r="O6" s="1">
        <v>54891.4</v>
      </c>
      <c r="P6" s="1">
        <v>54891.4</v>
      </c>
      <c r="Q6" s="3" t="b">
        <v>1</v>
      </c>
      <c r="R6" s="1" t="s">
        <v>9</v>
      </c>
      <c r="S6" s="1">
        <v>0</v>
      </c>
      <c r="T6" s="3" t="b">
        <v>0</v>
      </c>
      <c r="U6" s="1"/>
      <c r="V6" s="1"/>
      <c r="W6" s="1" t="s">
        <v>208</v>
      </c>
      <c r="X6" s="1" t="s">
        <v>130</v>
      </c>
      <c r="Y6" s="1">
        <v>46141</v>
      </c>
      <c r="Z6" s="1">
        <v>36</v>
      </c>
      <c r="AA6" s="1">
        <v>1</v>
      </c>
    </row>
    <row r="7" spans="1:27">
      <c r="A7" s="1" t="s">
        <v>63</v>
      </c>
      <c r="B7" s="1" t="s">
        <v>127</v>
      </c>
      <c r="C7" s="1" t="s">
        <v>128</v>
      </c>
      <c r="D7" s="1" t="s">
        <v>129</v>
      </c>
      <c r="E7" s="1" t="s">
        <v>182</v>
      </c>
      <c r="F7" s="1" t="s">
        <v>63</v>
      </c>
      <c r="G7" s="1" t="s">
        <v>64</v>
      </c>
      <c r="H7" s="1" t="s">
        <v>118</v>
      </c>
      <c r="I7" s="1" t="s">
        <v>158</v>
      </c>
      <c r="J7" s="1" t="s">
        <v>136</v>
      </c>
      <c r="K7" s="1">
        <v>46141</v>
      </c>
      <c r="L7" s="1">
        <v>46141</v>
      </c>
      <c r="M7" s="1"/>
      <c r="N7" s="1">
        <v>52798.720000000001</v>
      </c>
      <c r="O7" s="1">
        <v>52798.720000000001</v>
      </c>
      <c r="P7" s="1">
        <v>52798.720000000001</v>
      </c>
      <c r="Q7" s="3" t="b">
        <v>1</v>
      </c>
      <c r="R7" s="1" t="s">
        <v>9</v>
      </c>
      <c r="S7" s="1">
        <v>0</v>
      </c>
      <c r="T7" s="3" t="b">
        <v>0</v>
      </c>
      <c r="U7" s="1"/>
      <c r="V7" s="1"/>
      <c r="W7" s="1" t="s">
        <v>209</v>
      </c>
      <c r="X7" s="1" t="s">
        <v>130</v>
      </c>
      <c r="Y7" s="1">
        <v>46141</v>
      </c>
      <c r="Z7" s="1">
        <v>0</v>
      </c>
      <c r="AA7" s="1">
        <v>1</v>
      </c>
    </row>
    <row r="8" spans="1:27">
      <c r="A8" s="1" t="s">
        <v>66</v>
      </c>
      <c r="B8" s="1" t="s">
        <v>127</v>
      </c>
      <c r="C8" s="1" t="s">
        <v>128</v>
      </c>
      <c r="D8" s="1" t="s">
        <v>129</v>
      </c>
      <c r="E8" s="1" t="s">
        <v>182</v>
      </c>
      <c r="F8" s="1" t="s">
        <v>66</v>
      </c>
      <c r="G8" s="1" t="s">
        <v>67</v>
      </c>
      <c r="H8" s="1" t="s">
        <v>118</v>
      </c>
      <c r="I8" s="1" t="s">
        <v>155</v>
      </c>
      <c r="J8" s="1" t="s">
        <v>136</v>
      </c>
      <c r="K8" s="1">
        <v>46105</v>
      </c>
      <c r="L8" s="1">
        <v>46105</v>
      </c>
      <c r="M8" s="1"/>
      <c r="N8" s="1">
        <v>658284.30000000005</v>
      </c>
      <c r="O8" s="1">
        <v>658284.30000000005</v>
      </c>
      <c r="P8" s="1">
        <v>658284.30000000005</v>
      </c>
      <c r="Q8" s="3" t="b">
        <v>1</v>
      </c>
      <c r="R8" s="1" t="s">
        <v>9</v>
      </c>
      <c r="S8" s="1">
        <v>0</v>
      </c>
      <c r="T8" s="3" t="b">
        <v>0</v>
      </c>
      <c r="U8" s="1"/>
      <c r="V8" s="1"/>
      <c r="W8" s="1" t="s">
        <v>210</v>
      </c>
      <c r="X8" s="1" t="s">
        <v>130</v>
      </c>
      <c r="Y8" s="1">
        <v>46141</v>
      </c>
      <c r="Z8" s="1">
        <v>36</v>
      </c>
      <c r="AA8" s="1">
        <v>1</v>
      </c>
    </row>
    <row r="9" spans="1:27">
      <c r="A9" s="1" t="s">
        <v>69</v>
      </c>
      <c r="B9" s="1" t="s">
        <v>127</v>
      </c>
      <c r="C9" s="1" t="s">
        <v>159</v>
      </c>
      <c r="D9" s="1" t="s">
        <v>129</v>
      </c>
      <c r="E9" s="1" t="s">
        <v>182</v>
      </c>
      <c r="F9" s="1" t="s">
        <v>69</v>
      </c>
      <c r="G9" s="1" t="s">
        <v>70</v>
      </c>
      <c r="H9" s="1" t="s">
        <v>118</v>
      </c>
      <c r="I9" s="1" t="s">
        <v>155</v>
      </c>
      <c r="J9" s="1" t="s">
        <v>136</v>
      </c>
      <c r="K9" s="1">
        <v>46107</v>
      </c>
      <c r="L9" s="1">
        <v>46107</v>
      </c>
      <c r="M9" s="1"/>
      <c r="N9" s="1">
        <v>-203626</v>
      </c>
      <c r="O9" s="1">
        <v>-203626</v>
      </c>
      <c r="P9" s="1">
        <v>-203626</v>
      </c>
      <c r="Q9" s="3" t="b">
        <v>1</v>
      </c>
      <c r="R9" s="1" t="s">
        <v>9</v>
      </c>
      <c r="S9" s="1">
        <v>0</v>
      </c>
      <c r="T9" s="3" t="b">
        <v>0</v>
      </c>
      <c r="U9" s="1"/>
      <c r="V9" s="1"/>
      <c r="W9" s="1" t="s">
        <v>211</v>
      </c>
      <c r="X9" s="1" t="s">
        <v>130</v>
      </c>
      <c r="Y9" s="1">
        <v>46141</v>
      </c>
      <c r="Z9" s="1">
        <v>34</v>
      </c>
      <c r="AA9" s="1">
        <v>1</v>
      </c>
    </row>
    <row r="10" spans="1:27">
      <c r="A10" s="1" t="s">
        <v>72</v>
      </c>
      <c r="B10" s="1" t="s">
        <v>127</v>
      </c>
      <c r="C10" s="1" t="s">
        <v>159</v>
      </c>
      <c r="D10" s="1" t="s">
        <v>129</v>
      </c>
      <c r="E10" s="1" t="s">
        <v>182</v>
      </c>
      <c r="F10" s="1" t="s">
        <v>72</v>
      </c>
      <c r="G10" s="1" t="s">
        <v>73</v>
      </c>
      <c r="H10" s="1" t="s">
        <v>118</v>
      </c>
      <c r="I10" s="1" t="s">
        <v>158</v>
      </c>
      <c r="J10" s="1" t="s">
        <v>136</v>
      </c>
      <c r="K10" s="1">
        <v>46107</v>
      </c>
      <c r="L10" s="1">
        <v>46107</v>
      </c>
      <c r="M10" s="1"/>
      <c r="N10" s="1">
        <v>31568.799999999999</v>
      </c>
      <c r="O10" s="1">
        <v>31568.799999999999</v>
      </c>
      <c r="P10" s="1">
        <v>31568.799999999999</v>
      </c>
      <c r="Q10" s="3" t="b">
        <v>1</v>
      </c>
      <c r="R10" s="1" t="s">
        <v>9</v>
      </c>
      <c r="S10" s="1">
        <v>0</v>
      </c>
      <c r="T10" s="3" t="b">
        <v>0</v>
      </c>
      <c r="U10" s="1"/>
      <c r="V10" s="1"/>
      <c r="W10" s="1" t="s">
        <v>212</v>
      </c>
      <c r="X10" s="1" t="s">
        <v>130</v>
      </c>
      <c r="Y10" s="1">
        <v>46141</v>
      </c>
      <c r="Z10" s="1">
        <v>34</v>
      </c>
      <c r="AA10" s="1">
        <v>1</v>
      </c>
    </row>
    <row r="11" spans="1:27">
      <c r="A11" s="1" t="s">
        <v>75</v>
      </c>
      <c r="B11" s="1" t="s">
        <v>127</v>
      </c>
      <c r="C11" s="1" t="s">
        <v>159</v>
      </c>
      <c r="D11" s="1" t="s">
        <v>129</v>
      </c>
      <c r="E11" s="1" t="s">
        <v>182</v>
      </c>
      <c r="F11" s="1" t="s">
        <v>75</v>
      </c>
      <c r="G11" s="1" t="s">
        <v>76</v>
      </c>
      <c r="H11" s="1" t="s">
        <v>118</v>
      </c>
      <c r="I11" s="1" t="s">
        <v>155</v>
      </c>
      <c r="J11" s="1" t="s">
        <v>136</v>
      </c>
      <c r="K11" s="1">
        <v>46141</v>
      </c>
      <c r="L11" s="1">
        <v>46141</v>
      </c>
      <c r="M11" s="1"/>
      <c r="N11" s="1">
        <v>0</v>
      </c>
      <c r="O11" s="1">
        <v>0</v>
      </c>
      <c r="P11" s="1">
        <v>0</v>
      </c>
      <c r="Q11" s="3" t="b">
        <v>1</v>
      </c>
      <c r="R11" s="1" t="s">
        <v>9</v>
      </c>
      <c r="S11" s="1">
        <v>0</v>
      </c>
      <c r="T11" s="3" t="b">
        <v>0</v>
      </c>
      <c r="U11" s="1"/>
      <c r="V11" s="1"/>
      <c r="W11" s="1" t="s">
        <v>213</v>
      </c>
      <c r="X11" s="1" t="s">
        <v>130</v>
      </c>
      <c r="Y11" s="1">
        <v>46141</v>
      </c>
      <c r="Z11" s="1">
        <v>0</v>
      </c>
      <c r="AA11" s="1">
        <v>1</v>
      </c>
    </row>
    <row r="12" spans="1:27">
      <c r="A12" s="1" t="s">
        <v>78</v>
      </c>
      <c r="B12" s="1" t="s">
        <v>127</v>
      </c>
      <c r="C12" s="1" t="s">
        <v>159</v>
      </c>
      <c r="D12" s="1" t="s">
        <v>129</v>
      </c>
      <c r="E12" s="1" t="s">
        <v>182</v>
      </c>
      <c r="F12" s="1" t="s">
        <v>78</v>
      </c>
      <c r="G12" s="1" t="s">
        <v>79</v>
      </c>
      <c r="H12" s="1" t="s">
        <v>118</v>
      </c>
      <c r="I12" s="1" t="s">
        <v>155</v>
      </c>
      <c r="J12" s="1" t="s">
        <v>136</v>
      </c>
      <c r="K12" s="1">
        <v>46135</v>
      </c>
      <c r="L12" s="1">
        <v>46135</v>
      </c>
      <c r="M12" s="1"/>
      <c r="N12" s="1">
        <v>253500</v>
      </c>
      <c r="O12" s="1">
        <v>253500</v>
      </c>
      <c r="P12" s="1">
        <v>253500</v>
      </c>
      <c r="Q12" s="3" t="b">
        <v>1</v>
      </c>
      <c r="R12" s="1" t="s">
        <v>9</v>
      </c>
      <c r="S12" s="1">
        <v>0</v>
      </c>
      <c r="T12" s="3" t="b">
        <v>0</v>
      </c>
      <c r="U12" s="1"/>
      <c r="V12" s="1"/>
      <c r="W12" s="1" t="s">
        <v>214</v>
      </c>
      <c r="X12" s="1" t="s">
        <v>130</v>
      </c>
      <c r="Y12" s="1">
        <v>46141</v>
      </c>
      <c r="Z12" s="1">
        <v>6</v>
      </c>
      <c r="AA12" s="1">
        <v>1</v>
      </c>
    </row>
    <row r="13" spans="1:27">
      <c r="A13" s="1" t="s">
        <v>81</v>
      </c>
      <c r="B13" s="1" t="s">
        <v>127</v>
      </c>
      <c r="C13" s="1" t="s">
        <v>128</v>
      </c>
      <c r="D13" s="1" t="s">
        <v>129</v>
      </c>
      <c r="E13" s="1" t="s">
        <v>182</v>
      </c>
      <c r="F13" s="1" t="s">
        <v>81</v>
      </c>
      <c r="G13" s="1" t="s">
        <v>82</v>
      </c>
      <c r="H13" s="1" t="s">
        <v>118</v>
      </c>
      <c r="I13" s="1" t="s">
        <v>155</v>
      </c>
      <c r="J13" s="1" t="s">
        <v>136</v>
      </c>
      <c r="K13" s="1">
        <v>46141</v>
      </c>
      <c r="L13" s="1">
        <v>46141</v>
      </c>
      <c r="M13" s="1"/>
      <c r="N13" s="1">
        <v>253500</v>
      </c>
      <c r="O13" s="1">
        <v>253500</v>
      </c>
      <c r="P13" s="1">
        <v>253500</v>
      </c>
      <c r="Q13" s="3" t="b">
        <v>1</v>
      </c>
      <c r="R13" s="1" t="s">
        <v>9</v>
      </c>
      <c r="S13" s="1">
        <v>0</v>
      </c>
      <c r="T13" s="3" t="b">
        <v>0</v>
      </c>
      <c r="U13" s="1"/>
      <c r="V13" s="1"/>
      <c r="W13" s="1" t="s">
        <v>215</v>
      </c>
      <c r="X13" s="1" t="s">
        <v>130</v>
      </c>
      <c r="Y13" s="1">
        <v>46141</v>
      </c>
      <c r="Z13" s="1">
        <v>0</v>
      </c>
      <c r="AA13" s="1">
        <v>1</v>
      </c>
    </row>
    <row r="14" spans="1:27">
      <c r="A14" s="1" t="s">
        <v>84</v>
      </c>
      <c r="B14" s="1" t="s">
        <v>127</v>
      </c>
      <c r="C14" s="1" t="s">
        <v>159</v>
      </c>
      <c r="D14" s="1" t="s">
        <v>129</v>
      </c>
      <c r="E14" s="1" t="s">
        <v>182</v>
      </c>
      <c r="F14" s="1" t="s">
        <v>84</v>
      </c>
      <c r="G14" s="1" t="s">
        <v>85</v>
      </c>
      <c r="H14" s="1" t="s">
        <v>118</v>
      </c>
      <c r="I14" s="1" t="s">
        <v>155</v>
      </c>
      <c r="J14" s="1" t="s">
        <v>136</v>
      </c>
      <c r="K14" s="1">
        <v>46141</v>
      </c>
      <c r="L14" s="1">
        <v>46141</v>
      </c>
      <c r="M14" s="1"/>
      <c r="N14" s="1">
        <v>212683.6</v>
      </c>
      <c r="O14" s="1">
        <v>212683.6</v>
      </c>
      <c r="P14" s="1">
        <v>212683.6</v>
      </c>
      <c r="Q14" s="3" t="b">
        <v>1</v>
      </c>
      <c r="R14" s="1" t="s">
        <v>9</v>
      </c>
      <c r="S14" s="1">
        <v>0</v>
      </c>
      <c r="T14" s="3" t="b">
        <v>0</v>
      </c>
      <c r="U14" s="1"/>
      <c r="V14" s="1"/>
      <c r="W14" s="1" t="s">
        <v>216</v>
      </c>
      <c r="X14" s="1" t="s">
        <v>130</v>
      </c>
      <c r="Y14" s="1">
        <v>46141</v>
      </c>
      <c r="Z14" s="1">
        <v>0</v>
      </c>
      <c r="AA14" s="1">
        <v>1</v>
      </c>
    </row>
    <row r="15" spans="1:27">
      <c r="A15" s="1" t="s">
        <v>87</v>
      </c>
      <c r="B15" s="1" t="s">
        <v>127</v>
      </c>
      <c r="C15" s="1" t="s">
        <v>159</v>
      </c>
      <c r="D15" s="1" t="s">
        <v>129</v>
      </c>
      <c r="E15" s="1" t="s">
        <v>182</v>
      </c>
      <c r="F15" s="1" t="s">
        <v>87</v>
      </c>
      <c r="G15" s="1" t="s">
        <v>88</v>
      </c>
      <c r="H15" s="1" t="s">
        <v>118</v>
      </c>
      <c r="I15" s="1" t="s">
        <v>155</v>
      </c>
      <c r="J15" s="1" t="s">
        <v>136</v>
      </c>
      <c r="K15" s="1">
        <v>46105</v>
      </c>
      <c r="L15" s="1">
        <v>46105</v>
      </c>
      <c r="M15" s="1"/>
      <c r="N15" s="1">
        <v>0</v>
      </c>
      <c r="O15" s="1">
        <v>0</v>
      </c>
      <c r="P15" s="1">
        <v>0</v>
      </c>
      <c r="Q15" s="3" t="b">
        <v>1</v>
      </c>
      <c r="R15" s="1" t="s">
        <v>9</v>
      </c>
      <c r="S15" s="1">
        <v>0</v>
      </c>
      <c r="T15" s="3" t="b">
        <v>0</v>
      </c>
      <c r="U15" s="1"/>
      <c r="V15" s="1"/>
      <c r="W15" s="1" t="s">
        <v>217</v>
      </c>
      <c r="X15" s="1" t="s">
        <v>130</v>
      </c>
      <c r="Y15" s="1">
        <v>46141</v>
      </c>
      <c r="Z15" s="1">
        <v>36</v>
      </c>
      <c r="AA15" s="1">
        <v>1</v>
      </c>
    </row>
    <row r="16" spans="1:27">
      <c r="A16" s="1" t="s">
        <v>90</v>
      </c>
      <c r="B16" s="1" t="s">
        <v>127</v>
      </c>
      <c r="C16" s="1" t="s">
        <v>159</v>
      </c>
      <c r="D16" s="1" t="s">
        <v>129</v>
      </c>
      <c r="E16" s="1" t="s">
        <v>182</v>
      </c>
      <c r="F16" s="1" t="s">
        <v>90</v>
      </c>
      <c r="G16" s="1" t="s">
        <v>91</v>
      </c>
      <c r="H16" s="1" t="s">
        <v>118</v>
      </c>
      <c r="I16" s="1" t="s">
        <v>155</v>
      </c>
      <c r="J16" s="1" t="s">
        <v>136</v>
      </c>
      <c r="K16" s="1">
        <v>46141</v>
      </c>
      <c r="L16" s="1">
        <v>46141</v>
      </c>
      <c r="M16" s="1"/>
      <c r="N16" s="1">
        <v>0</v>
      </c>
      <c r="O16" s="1">
        <v>0</v>
      </c>
      <c r="P16" s="1">
        <v>0</v>
      </c>
      <c r="Q16" s="3" t="b">
        <v>1</v>
      </c>
      <c r="R16" s="1" t="s">
        <v>9</v>
      </c>
      <c r="S16" s="1">
        <v>0</v>
      </c>
      <c r="T16" s="3" t="b">
        <v>0</v>
      </c>
      <c r="U16" s="1"/>
      <c r="V16" s="1"/>
      <c r="W16" s="1" t="s">
        <v>218</v>
      </c>
      <c r="X16" s="1" t="s">
        <v>130</v>
      </c>
      <c r="Y16" s="1">
        <v>46141</v>
      </c>
      <c r="Z16" s="1">
        <v>0</v>
      </c>
      <c r="AA16" s="1">
        <v>1</v>
      </c>
    </row>
    <row r="17" spans="1:27">
      <c r="A17" s="1" t="s">
        <v>93</v>
      </c>
      <c r="B17" s="1" t="s">
        <v>127</v>
      </c>
      <c r="C17" s="1" t="s">
        <v>128</v>
      </c>
      <c r="D17" s="1" t="s">
        <v>129</v>
      </c>
      <c r="E17" s="1" t="s">
        <v>182</v>
      </c>
      <c r="F17" s="1" t="s">
        <v>93</v>
      </c>
      <c r="G17" s="1" t="s">
        <v>94</v>
      </c>
      <c r="H17" s="1" t="s">
        <v>118</v>
      </c>
      <c r="I17" s="1" t="s">
        <v>157</v>
      </c>
      <c r="J17" s="1" t="s">
        <v>136</v>
      </c>
      <c r="K17" s="1">
        <v>46135</v>
      </c>
      <c r="L17" s="1">
        <v>46135</v>
      </c>
      <c r="M17" s="1"/>
      <c r="N17" s="1">
        <v>-1539742.0060000001</v>
      </c>
      <c r="O17" s="1">
        <v>-1539742.0060000001</v>
      </c>
      <c r="P17" s="1">
        <v>-1539742.0060000001</v>
      </c>
      <c r="Q17" s="3" t="b">
        <v>1</v>
      </c>
      <c r="R17" s="1" t="s">
        <v>9</v>
      </c>
      <c r="S17" s="1">
        <v>0</v>
      </c>
      <c r="T17" s="3" t="b">
        <v>0</v>
      </c>
      <c r="U17" s="1"/>
      <c r="V17" s="1"/>
      <c r="W17" s="1" t="s">
        <v>219</v>
      </c>
      <c r="X17" s="1" t="s">
        <v>130</v>
      </c>
      <c r="Y17" s="1">
        <v>46141</v>
      </c>
      <c r="Z17" s="1">
        <v>6</v>
      </c>
      <c r="AA17" s="1">
        <v>1</v>
      </c>
    </row>
    <row r="18" spans="1:27">
      <c r="A18" s="1" t="s">
        <v>96</v>
      </c>
      <c r="B18" s="1" t="s">
        <v>127</v>
      </c>
      <c r="C18" s="1" t="s">
        <v>160</v>
      </c>
      <c r="D18" s="1" t="s">
        <v>161</v>
      </c>
      <c r="E18" s="1" t="s">
        <v>182</v>
      </c>
      <c r="F18" s="1" t="s">
        <v>96</v>
      </c>
      <c r="G18" s="1" t="s">
        <v>97</v>
      </c>
      <c r="H18" s="1" t="s">
        <v>220</v>
      </c>
      <c r="I18" s="1" t="s">
        <v>157</v>
      </c>
      <c r="J18" s="1" t="s">
        <v>136</v>
      </c>
      <c r="K18" s="1">
        <v>46141</v>
      </c>
      <c r="L18" s="1">
        <v>46141</v>
      </c>
      <c r="M18" s="1"/>
      <c r="N18" s="1">
        <v>1435518.74</v>
      </c>
      <c r="O18" s="1">
        <v>1435518.74</v>
      </c>
      <c r="P18" s="1">
        <v>1435518.74</v>
      </c>
      <c r="Q18" s="3" t="b">
        <v>1</v>
      </c>
      <c r="R18" s="1" t="s">
        <v>9</v>
      </c>
      <c r="S18" s="1">
        <v>0</v>
      </c>
      <c r="T18" s="3" t="b">
        <v>0</v>
      </c>
      <c r="U18" s="1"/>
      <c r="V18" s="1"/>
      <c r="W18" s="1" t="s">
        <v>221</v>
      </c>
      <c r="X18" s="1" t="s">
        <v>130</v>
      </c>
      <c r="Y18" s="1">
        <v>46141</v>
      </c>
      <c r="Z18" s="1">
        <v>0</v>
      </c>
      <c r="AA18" s="1">
        <v>1</v>
      </c>
    </row>
    <row r="19" spans="1:27">
      <c r="A19" s="1" t="s">
        <v>39</v>
      </c>
      <c r="B19" s="1" t="s">
        <v>127</v>
      </c>
      <c r="C19" s="1" t="s">
        <v>132</v>
      </c>
      <c r="D19" s="1" t="s">
        <v>133</v>
      </c>
      <c r="E19" s="1" t="s">
        <v>182</v>
      </c>
      <c r="F19" s="1" t="s">
        <v>39</v>
      </c>
      <c r="G19" s="1" t="s">
        <v>40</v>
      </c>
      <c r="H19" s="1" t="s">
        <v>220</v>
      </c>
      <c r="I19" s="1" t="s">
        <v>155</v>
      </c>
      <c r="J19" s="1" t="s">
        <v>7</v>
      </c>
      <c r="K19" s="1"/>
      <c r="L19" s="1"/>
      <c r="M19" s="1"/>
      <c r="N19" s="1">
        <v>915573.89</v>
      </c>
      <c r="O19" s="1">
        <v>915573.89</v>
      </c>
      <c r="P19" s="1">
        <v>915573.89</v>
      </c>
      <c r="Q19" s="3" t="b">
        <v>1</v>
      </c>
      <c r="R19" s="1" t="s">
        <v>7</v>
      </c>
      <c r="S19" s="1">
        <v>0</v>
      </c>
      <c r="T19" s="3" t="b">
        <v>0</v>
      </c>
      <c r="U19" s="1"/>
      <c r="V19" s="1"/>
      <c r="W19" s="1" t="s">
        <v>222</v>
      </c>
      <c r="X19" s="1" t="s">
        <v>130</v>
      </c>
      <c r="Y19" s="1">
        <v>46141</v>
      </c>
      <c r="Z19" s="1"/>
      <c r="AA19" s="1">
        <v>1</v>
      </c>
    </row>
    <row r="20" spans="1:27">
      <c r="A20" s="1" t="s">
        <v>99</v>
      </c>
      <c r="B20" s="1" t="s">
        <v>127</v>
      </c>
      <c r="C20" s="1" t="s">
        <v>132</v>
      </c>
      <c r="D20" s="1" t="s">
        <v>133</v>
      </c>
      <c r="E20" s="1" t="s">
        <v>223</v>
      </c>
      <c r="F20" s="1" t="s">
        <v>99</v>
      </c>
      <c r="G20" s="1" t="s">
        <v>100</v>
      </c>
      <c r="H20" s="1" t="s">
        <v>220</v>
      </c>
      <c r="I20" s="1" t="s">
        <v>155</v>
      </c>
      <c r="J20" s="1" t="s">
        <v>136</v>
      </c>
      <c r="K20" s="1"/>
      <c r="L20" s="1"/>
      <c r="M20" s="1"/>
      <c r="N20" s="1">
        <v>445273.39</v>
      </c>
      <c r="O20" s="1">
        <v>445273.39</v>
      </c>
      <c r="P20" s="1">
        <v>445273.39</v>
      </c>
      <c r="Q20" s="3" t="b">
        <v>1</v>
      </c>
      <c r="R20" s="1" t="s">
        <v>9</v>
      </c>
      <c r="S20" s="1">
        <v>0</v>
      </c>
      <c r="T20" s="3" t="b">
        <v>0</v>
      </c>
      <c r="U20" s="1"/>
      <c r="V20" s="1"/>
      <c r="W20" s="1" t="s">
        <v>224</v>
      </c>
      <c r="X20" s="1" t="s">
        <v>130</v>
      </c>
      <c r="Y20" s="1">
        <v>46141</v>
      </c>
      <c r="Z20" s="1"/>
      <c r="AA20" s="1">
        <v>1</v>
      </c>
    </row>
    <row r="21" spans="1:27">
      <c r="A21" s="1" t="s">
        <v>106</v>
      </c>
      <c r="B21" s="1" t="s">
        <v>127</v>
      </c>
      <c r="C21" s="1" t="s">
        <v>132</v>
      </c>
      <c r="D21" s="1" t="s">
        <v>133</v>
      </c>
      <c r="E21" s="1" t="s">
        <v>225</v>
      </c>
      <c r="F21" s="1" t="s">
        <v>106</v>
      </c>
      <c r="G21" s="1" t="s">
        <v>107</v>
      </c>
      <c r="H21" s="1" t="s">
        <v>220</v>
      </c>
      <c r="I21" s="1" t="s">
        <v>155</v>
      </c>
      <c r="J21" s="1" t="s">
        <v>11</v>
      </c>
      <c r="K21" s="1"/>
      <c r="L21" s="1"/>
      <c r="M21" s="1"/>
      <c r="N21" s="1">
        <v>100000</v>
      </c>
      <c r="O21" s="1">
        <v>100000</v>
      </c>
      <c r="P21" s="1">
        <v>100000</v>
      </c>
      <c r="Q21" s="3" t="b">
        <v>0</v>
      </c>
      <c r="R21" s="1" t="s">
        <v>162</v>
      </c>
      <c r="S21" s="1">
        <v>0</v>
      </c>
      <c r="T21" s="3" t="b">
        <v>0</v>
      </c>
      <c r="U21" s="1"/>
      <c r="V21" s="1"/>
      <c r="W21" s="1" t="s">
        <v>226</v>
      </c>
      <c r="X21" s="1" t="s">
        <v>130</v>
      </c>
      <c r="Y21" s="1">
        <v>46141</v>
      </c>
      <c r="Z21" s="1"/>
      <c r="AA21" s="1">
        <v>1</v>
      </c>
    </row>
    <row r="22" spans="1:27">
      <c r="A22" s="1" t="s">
        <v>163</v>
      </c>
      <c r="B22" s="1" t="s">
        <v>127</v>
      </c>
      <c r="C22" s="1" t="s">
        <v>164</v>
      </c>
      <c r="D22" s="1" t="s">
        <v>135</v>
      </c>
      <c r="E22" s="1" t="s">
        <v>11</v>
      </c>
      <c r="F22" s="1" t="s">
        <v>109</v>
      </c>
      <c r="G22" s="1" t="s">
        <v>110</v>
      </c>
      <c r="H22" s="1" t="s">
        <v>118</v>
      </c>
      <c r="I22" s="1" t="s">
        <v>155</v>
      </c>
      <c r="J22" s="1" t="s">
        <v>11</v>
      </c>
      <c r="K22" s="1"/>
      <c r="L22" s="1"/>
      <c r="M22" s="1"/>
      <c r="N22" s="1">
        <v>20960529.809999999</v>
      </c>
      <c r="O22" s="1">
        <v>20960529.809999999</v>
      </c>
      <c r="P22" s="1">
        <v>20960529.809999999</v>
      </c>
      <c r="Q22" s="3" t="b">
        <v>0</v>
      </c>
      <c r="R22" s="1" t="s">
        <v>162</v>
      </c>
      <c r="S22" s="1">
        <v>0</v>
      </c>
      <c r="T22" s="3" t="b">
        <v>0</v>
      </c>
      <c r="U22" s="1"/>
      <c r="V22" s="1"/>
      <c r="W22" s="1" t="s">
        <v>227</v>
      </c>
      <c r="X22" s="1" t="s">
        <v>130</v>
      </c>
      <c r="Y22" s="1">
        <v>46141</v>
      </c>
      <c r="Z22" s="1"/>
      <c r="AA22" s="1">
        <v>1</v>
      </c>
    </row>
    <row r="23" spans="1:27">
      <c r="A23" s="1" t="s">
        <v>42</v>
      </c>
      <c r="B23" s="1" t="s">
        <v>127</v>
      </c>
      <c r="C23" s="1" t="s">
        <v>134</v>
      </c>
      <c r="D23" s="1" t="s">
        <v>135</v>
      </c>
      <c r="E23" s="1" t="s">
        <v>182</v>
      </c>
      <c r="F23" s="1" t="s">
        <v>42</v>
      </c>
      <c r="G23" s="1" t="s">
        <v>43</v>
      </c>
      <c r="H23" s="1" t="s">
        <v>118</v>
      </c>
      <c r="I23" s="1" t="s">
        <v>157</v>
      </c>
      <c r="J23" s="1" t="s">
        <v>7</v>
      </c>
      <c r="K23" s="1"/>
      <c r="L23" s="1"/>
      <c r="M23" s="1"/>
      <c r="N23" s="1">
        <v>3260795.07</v>
      </c>
      <c r="O23" s="1">
        <v>3260795.07</v>
      </c>
      <c r="P23" s="1">
        <v>3260795.07</v>
      </c>
      <c r="Q23" s="3" t="b">
        <v>1</v>
      </c>
      <c r="R23" s="1" t="s">
        <v>7</v>
      </c>
      <c r="S23" s="1">
        <v>0</v>
      </c>
      <c r="T23" s="3" t="b">
        <v>0</v>
      </c>
      <c r="U23" s="1"/>
      <c r="V23" s="1"/>
      <c r="W23" s="1" t="s">
        <v>228</v>
      </c>
      <c r="X23" s="1" t="s">
        <v>130</v>
      </c>
      <c r="Y23" s="1">
        <v>46141</v>
      </c>
      <c r="Z23" s="1"/>
      <c r="AA23" s="1">
        <v>1</v>
      </c>
    </row>
    <row r="24" spans="1:27">
      <c r="A24" s="1" t="s">
        <v>45</v>
      </c>
      <c r="B24" s="1" t="s">
        <v>127</v>
      </c>
      <c r="C24" s="1" t="s">
        <v>137</v>
      </c>
      <c r="D24" s="1" t="s">
        <v>138</v>
      </c>
      <c r="E24" s="1" t="s">
        <v>182</v>
      </c>
      <c r="F24" s="1" t="s">
        <v>45</v>
      </c>
      <c r="G24" s="1" t="s">
        <v>46</v>
      </c>
      <c r="H24" s="1" t="s">
        <v>118</v>
      </c>
      <c r="I24" s="1" t="s">
        <v>155</v>
      </c>
      <c r="J24" s="1" t="s">
        <v>7</v>
      </c>
      <c r="K24" s="1"/>
      <c r="L24" s="1"/>
      <c r="M24" s="1"/>
      <c r="N24" s="1">
        <v>2800000</v>
      </c>
      <c r="O24" s="1">
        <v>2800000</v>
      </c>
      <c r="P24" s="1">
        <v>2800000</v>
      </c>
      <c r="Q24" s="3" t="b">
        <v>1</v>
      </c>
      <c r="R24" s="1" t="s">
        <v>7</v>
      </c>
      <c r="S24" s="1">
        <v>0</v>
      </c>
      <c r="T24" s="3" t="b">
        <v>0</v>
      </c>
      <c r="U24" s="1"/>
      <c r="V24" s="1"/>
      <c r="W24" s="1" t="s">
        <v>229</v>
      </c>
      <c r="X24" s="1" t="s">
        <v>130</v>
      </c>
      <c r="Y24" s="1">
        <v>46141</v>
      </c>
      <c r="Z24" s="1"/>
      <c r="AA24" s="1">
        <v>1</v>
      </c>
    </row>
    <row r="25" spans="1:27">
      <c r="A25" s="1" t="s">
        <v>165</v>
      </c>
      <c r="B25" s="1" t="s">
        <v>127</v>
      </c>
      <c r="C25" s="1" t="s">
        <v>164</v>
      </c>
      <c r="D25" s="1" t="s">
        <v>166</v>
      </c>
      <c r="E25" s="1" t="s">
        <v>11</v>
      </c>
      <c r="F25" s="1" t="s">
        <v>109</v>
      </c>
      <c r="G25" s="1" t="s">
        <v>113</v>
      </c>
      <c r="H25" s="1" t="s">
        <v>220</v>
      </c>
      <c r="I25" s="1" t="s">
        <v>155</v>
      </c>
      <c r="J25" s="1" t="s">
        <v>11</v>
      </c>
      <c r="K25" s="1"/>
      <c r="L25" s="1"/>
      <c r="M25" s="1"/>
      <c r="N25" s="1">
        <v>997628.89019377599</v>
      </c>
      <c r="O25" s="1">
        <v>997628.89019377599</v>
      </c>
      <c r="P25" s="1">
        <v>997628.89019377599</v>
      </c>
      <c r="Q25" s="3" t="b">
        <v>0</v>
      </c>
      <c r="R25" s="1" t="s">
        <v>162</v>
      </c>
      <c r="S25" s="1">
        <v>0</v>
      </c>
      <c r="T25" s="3" t="b">
        <v>0</v>
      </c>
      <c r="U25" s="1"/>
      <c r="V25" s="1"/>
      <c r="W25" s="1" t="s">
        <v>230</v>
      </c>
      <c r="X25" s="1" t="s">
        <v>130</v>
      </c>
      <c r="Y25" s="1">
        <v>46141</v>
      </c>
      <c r="Z25" s="1"/>
      <c r="AA25" s="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"/>
  <sheetViews>
    <sheetView workbookViewId="0"/>
  </sheetViews>
  <sheetFormatPr defaultRowHeight="13.9"/>
  <cols>
    <col min="1" max="3" width="18" customWidth="1"/>
    <col min="4" max="4" width="8.125" customWidth="1"/>
    <col min="5" max="5" width="10" customWidth="1"/>
    <col min="6" max="6" width="12.25" customWidth="1"/>
    <col min="7" max="7" width="11.25" customWidth="1"/>
    <col min="8" max="8" width="10.125" customWidth="1"/>
  </cols>
  <sheetData>
    <row r="1" spans="1:8" ht="30" customHeight="1">
      <c r="A1" s="65" t="s">
        <v>231</v>
      </c>
      <c r="B1" s="65" t="s">
        <v>232</v>
      </c>
      <c r="C1" s="65" t="s">
        <v>233</v>
      </c>
      <c r="D1" s="65" t="s">
        <v>234</v>
      </c>
      <c r="E1" s="67" t="s">
        <v>235</v>
      </c>
      <c r="F1" s="65" t="s">
        <v>236</v>
      </c>
      <c r="G1" s="65" t="s">
        <v>237</v>
      </c>
      <c r="H1" s="66" t="s">
        <v>124</v>
      </c>
    </row>
    <row r="2" spans="1:8">
      <c r="A2" s="1" t="s">
        <v>204</v>
      </c>
      <c r="B2" s="1" t="s">
        <v>36</v>
      </c>
      <c r="C2" s="1" t="s">
        <v>157</v>
      </c>
      <c r="D2" s="1" t="s">
        <v>238</v>
      </c>
      <c r="E2" s="1">
        <v>10626000</v>
      </c>
      <c r="F2" s="1" t="s">
        <v>239</v>
      </c>
      <c r="G2" s="1" t="s">
        <v>157</v>
      </c>
      <c r="H2" s="1">
        <v>46118</v>
      </c>
    </row>
    <row r="3" spans="1:8">
      <c r="A3" s="1" t="s">
        <v>205</v>
      </c>
      <c r="B3" s="1" t="s">
        <v>51</v>
      </c>
      <c r="C3" s="1" t="s">
        <v>157</v>
      </c>
      <c r="D3" s="1" t="s">
        <v>238</v>
      </c>
      <c r="E3" s="1">
        <v>-1864562.9839999999</v>
      </c>
      <c r="F3" s="1" t="s">
        <v>239</v>
      </c>
      <c r="G3" s="1" t="s">
        <v>157</v>
      </c>
      <c r="H3" s="1">
        <v>46118</v>
      </c>
    </row>
    <row r="4" spans="1:8">
      <c r="A4" s="1" t="s">
        <v>206</v>
      </c>
      <c r="B4" s="1" t="s">
        <v>54</v>
      </c>
      <c r="C4" s="1" t="s">
        <v>158</v>
      </c>
      <c r="D4" s="1" t="s">
        <v>240</v>
      </c>
      <c r="E4" s="1">
        <v>129440.9</v>
      </c>
      <c r="F4" s="1" t="s">
        <v>239</v>
      </c>
      <c r="G4" s="1" t="s">
        <v>117</v>
      </c>
      <c r="H4" s="1">
        <v>46118</v>
      </c>
    </row>
    <row r="5" spans="1:8">
      <c r="A5" s="1" t="s">
        <v>207</v>
      </c>
      <c r="B5" s="1" t="s">
        <v>57</v>
      </c>
      <c r="C5" s="1" t="s">
        <v>158</v>
      </c>
      <c r="D5" s="1" t="s">
        <v>240</v>
      </c>
      <c r="E5" s="1">
        <v>123900.7</v>
      </c>
      <c r="F5" s="1" t="s">
        <v>239</v>
      </c>
      <c r="G5" s="1" t="s">
        <v>117</v>
      </c>
      <c r="H5" s="1">
        <v>46118</v>
      </c>
    </row>
    <row r="6" spans="1:8">
      <c r="A6" s="1" t="s">
        <v>208</v>
      </c>
      <c r="B6" s="1" t="s">
        <v>60</v>
      </c>
      <c r="C6" s="1" t="s">
        <v>158</v>
      </c>
      <c r="D6" s="1" t="s">
        <v>240</v>
      </c>
      <c r="E6" s="1">
        <v>54891.4</v>
      </c>
      <c r="F6" s="1" t="s">
        <v>239</v>
      </c>
      <c r="G6" s="1" t="s">
        <v>117</v>
      </c>
      <c r="H6" s="1">
        <v>46118</v>
      </c>
    </row>
    <row r="7" spans="1:8">
      <c r="A7" s="1" t="s">
        <v>209</v>
      </c>
      <c r="B7" s="1" t="s">
        <v>63</v>
      </c>
      <c r="C7" s="1" t="s">
        <v>158</v>
      </c>
      <c r="D7" s="1" t="s">
        <v>240</v>
      </c>
      <c r="E7" s="1">
        <v>52798.720000000001</v>
      </c>
      <c r="F7" s="1" t="s">
        <v>239</v>
      </c>
      <c r="G7" s="1" t="s">
        <v>117</v>
      </c>
      <c r="H7" s="1">
        <v>46118</v>
      </c>
    </row>
    <row r="8" spans="1:8">
      <c r="A8" s="1" t="s">
        <v>210</v>
      </c>
      <c r="B8" s="1" t="s">
        <v>66</v>
      </c>
      <c r="C8" s="1" t="s">
        <v>155</v>
      </c>
      <c r="D8" s="1" t="s">
        <v>240</v>
      </c>
      <c r="E8" s="1">
        <v>658284.30000000005</v>
      </c>
      <c r="F8" s="1" t="s">
        <v>239</v>
      </c>
      <c r="G8" s="1" t="s">
        <v>117</v>
      </c>
      <c r="H8" s="1">
        <v>46118</v>
      </c>
    </row>
    <row r="9" spans="1:8">
      <c r="A9" s="1" t="s">
        <v>211</v>
      </c>
      <c r="B9" s="1" t="s">
        <v>69</v>
      </c>
      <c r="C9" s="1" t="s">
        <v>155</v>
      </c>
      <c r="D9" s="1" t="s">
        <v>240</v>
      </c>
      <c r="E9" s="1">
        <v>-203626</v>
      </c>
      <c r="F9" s="1" t="s">
        <v>239</v>
      </c>
      <c r="G9" s="1" t="s">
        <v>117</v>
      </c>
      <c r="H9" s="1">
        <v>46118</v>
      </c>
    </row>
    <row r="10" spans="1:8">
      <c r="A10" s="1" t="s">
        <v>212</v>
      </c>
      <c r="B10" s="1" t="s">
        <v>72</v>
      </c>
      <c r="C10" s="1" t="s">
        <v>158</v>
      </c>
      <c r="D10" s="1" t="s">
        <v>240</v>
      </c>
      <c r="E10" s="1">
        <v>31568.799999999999</v>
      </c>
      <c r="F10" s="1" t="s">
        <v>239</v>
      </c>
      <c r="G10" s="1" t="s">
        <v>117</v>
      </c>
      <c r="H10" s="1">
        <v>46118</v>
      </c>
    </row>
    <row r="11" spans="1:8">
      <c r="A11" s="1" t="s">
        <v>221</v>
      </c>
      <c r="B11" s="1" t="s">
        <v>96</v>
      </c>
      <c r="C11" s="1" t="s">
        <v>157</v>
      </c>
      <c r="D11" s="1" t="s">
        <v>238</v>
      </c>
      <c r="E11" s="1">
        <v>1435518.74</v>
      </c>
      <c r="F11" s="1" t="s">
        <v>239</v>
      </c>
      <c r="G11" s="1" t="s">
        <v>157</v>
      </c>
      <c r="H11" s="1">
        <v>46118</v>
      </c>
    </row>
    <row r="12" spans="1:8">
      <c r="A12" s="1" t="s">
        <v>222</v>
      </c>
      <c r="B12" s="1" t="s">
        <v>39</v>
      </c>
      <c r="C12" s="1" t="s">
        <v>155</v>
      </c>
      <c r="D12" s="1" t="s">
        <v>241</v>
      </c>
      <c r="E12" s="1">
        <v>915573.89</v>
      </c>
      <c r="F12" s="1" t="s">
        <v>242</v>
      </c>
      <c r="G12" s="1" t="s">
        <v>117</v>
      </c>
      <c r="H12" s="1">
        <v>46118</v>
      </c>
    </row>
    <row r="13" spans="1:8">
      <c r="A13" s="1" t="s">
        <v>224</v>
      </c>
      <c r="B13" s="1" t="s">
        <v>99</v>
      </c>
      <c r="C13" s="1" t="s">
        <v>155</v>
      </c>
      <c r="D13" s="1" t="s">
        <v>240</v>
      </c>
      <c r="E13" s="1">
        <v>445273.39</v>
      </c>
      <c r="F13" s="1" t="s">
        <v>239</v>
      </c>
      <c r="G13" s="1" t="s">
        <v>117</v>
      </c>
      <c r="H13" s="1">
        <v>46118</v>
      </c>
    </row>
    <row r="14" spans="1:8">
      <c r="A14" s="1" t="s">
        <v>226</v>
      </c>
      <c r="B14" s="1" t="s">
        <v>106</v>
      </c>
      <c r="C14" s="1" t="s">
        <v>155</v>
      </c>
      <c r="D14" s="1" t="s">
        <v>240</v>
      </c>
      <c r="E14" s="1">
        <v>100000</v>
      </c>
      <c r="F14" s="1" t="s">
        <v>239</v>
      </c>
      <c r="G14" s="1" t="s">
        <v>117</v>
      </c>
      <c r="H14" s="1">
        <v>46118</v>
      </c>
    </row>
    <row r="15" spans="1:8">
      <c r="A15" s="1" t="s">
        <v>227</v>
      </c>
      <c r="B15" s="1" t="s">
        <v>163</v>
      </c>
      <c r="C15" s="1" t="s">
        <v>155</v>
      </c>
      <c r="D15" s="1" t="s">
        <v>238</v>
      </c>
      <c r="E15" s="1">
        <v>20960529.809999999</v>
      </c>
      <c r="F15" s="1" t="s">
        <v>239</v>
      </c>
      <c r="G15" s="1" t="s">
        <v>157</v>
      </c>
      <c r="H15" s="1">
        <v>46118</v>
      </c>
    </row>
    <row r="16" spans="1:8">
      <c r="A16" s="1" t="s">
        <v>228</v>
      </c>
      <c r="B16" s="1" t="s">
        <v>42</v>
      </c>
      <c r="C16" s="1" t="s">
        <v>157</v>
      </c>
      <c r="D16" s="1" t="s">
        <v>241</v>
      </c>
      <c r="E16" s="1">
        <v>3260795.07</v>
      </c>
      <c r="F16" s="1" t="s">
        <v>242</v>
      </c>
      <c r="G16" s="1" t="s">
        <v>157</v>
      </c>
      <c r="H16" s="1">
        <v>46118</v>
      </c>
    </row>
    <row r="17" spans="1:8">
      <c r="A17" s="1" t="s">
        <v>229</v>
      </c>
      <c r="B17" s="1" t="s">
        <v>45</v>
      </c>
      <c r="C17" s="1" t="s">
        <v>155</v>
      </c>
      <c r="D17" s="1" t="s">
        <v>241</v>
      </c>
      <c r="E17" s="1">
        <v>2800000</v>
      </c>
      <c r="F17" s="1" t="s">
        <v>242</v>
      </c>
      <c r="G17" s="1" t="s">
        <v>157</v>
      </c>
      <c r="H17" s="1">
        <v>46118</v>
      </c>
    </row>
    <row r="18" spans="1:8">
      <c r="A18" s="1" t="s">
        <v>230</v>
      </c>
      <c r="B18" s="1" t="s">
        <v>165</v>
      </c>
      <c r="C18" s="1" t="s">
        <v>155</v>
      </c>
      <c r="D18" s="1" t="s">
        <v>240</v>
      </c>
      <c r="E18" s="1">
        <v>997628.89019377599</v>
      </c>
      <c r="F18" s="1" t="s">
        <v>239</v>
      </c>
      <c r="G18" s="1" t="s">
        <v>117</v>
      </c>
      <c r="H18" s="1">
        <v>46118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"/>
  <sheetViews>
    <sheetView workbookViewId="0"/>
  </sheetViews>
  <sheetFormatPr defaultRowHeight="13.9"/>
  <cols>
    <col min="1" max="2" width="20" customWidth="1"/>
    <col min="3" max="3" width="8.625" customWidth="1"/>
    <col min="4" max="4" width="7.375" customWidth="1"/>
    <col min="5" max="5" width="10" customWidth="1"/>
    <col min="6" max="6" width="36" customWidth="1"/>
    <col min="7" max="7" width="10.125" customWidth="1"/>
  </cols>
  <sheetData>
    <row r="1" spans="1:7" ht="30" customHeight="1">
      <c r="A1" s="65" t="s">
        <v>115</v>
      </c>
      <c r="B1" s="65" t="s">
        <v>243</v>
      </c>
      <c r="C1" s="65" t="s">
        <v>244</v>
      </c>
      <c r="D1" s="65" t="s">
        <v>245</v>
      </c>
      <c r="E1" s="65" t="s">
        <v>246</v>
      </c>
      <c r="F1" s="65" t="s">
        <v>247</v>
      </c>
      <c r="G1" s="66" t="s">
        <v>124</v>
      </c>
    </row>
    <row r="2" spans="1:7">
      <c r="A2" s="1" t="s">
        <v>36</v>
      </c>
      <c r="B2" s="1" t="s">
        <v>248</v>
      </c>
      <c r="C2" s="1">
        <v>30</v>
      </c>
      <c r="D2" s="1">
        <v>30</v>
      </c>
      <c r="E2" s="3" t="b">
        <v>0</v>
      </c>
      <c r="F2" s="1" t="s">
        <v>249</v>
      </c>
      <c r="G2" s="1">
        <v>46141</v>
      </c>
    </row>
    <row r="3" spans="1:7">
      <c r="A3" s="1" t="s">
        <v>51</v>
      </c>
      <c r="B3" s="1" t="s">
        <v>248</v>
      </c>
      <c r="C3" s="1">
        <v>30</v>
      </c>
      <c r="D3" s="1">
        <v>30</v>
      </c>
      <c r="E3" s="3" t="b">
        <v>0</v>
      </c>
      <c r="F3" s="1" t="s">
        <v>249</v>
      </c>
      <c r="G3" s="1">
        <v>46141</v>
      </c>
    </row>
    <row r="4" spans="1:7">
      <c r="A4" s="1" t="s">
        <v>54</v>
      </c>
      <c r="B4" s="1" t="s">
        <v>248</v>
      </c>
      <c r="C4" s="1">
        <v>30</v>
      </c>
      <c r="D4" s="1">
        <v>30</v>
      </c>
      <c r="E4" s="3" t="b">
        <v>0</v>
      </c>
      <c r="F4" s="1" t="s">
        <v>249</v>
      </c>
      <c r="G4" s="1">
        <v>46141</v>
      </c>
    </row>
    <row r="5" spans="1:7">
      <c r="A5" s="1" t="s">
        <v>57</v>
      </c>
      <c r="B5" s="1" t="s">
        <v>248</v>
      </c>
      <c r="C5" s="1">
        <v>30</v>
      </c>
      <c r="D5" s="1">
        <v>30</v>
      </c>
      <c r="E5" s="3" t="b">
        <v>0</v>
      </c>
      <c r="F5" s="1" t="s">
        <v>249</v>
      </c>
      <c r="G5" s="1">
        <v>46141</v>
      </c>
    </row>
    <row r="6" spans="1:7">
      <c r="A6" s="1" t="s">
        <v>60</v>
      </c>
      <c r="B6" s="1" t="s">
        <v>248</v>
      </c>
      <c r="C6" s="1">
        <v>30</v>
      </c>
      <c r="D6" s="1">
        <v>30</v>
      </c>
      <c r="E6" s="3" t="b">
        <v>0</v>
      </c>
      <c r="F6" s="1" t="s">
        <v>249</v>
      </c>
      <c r="G6" s="1">
        <v>46141</v>
      </c>
    </row>
    <row r="7" spans="1:7">
      <c r="A7" s="1" t="s">
        <v>63</v>
      </c>
      <c r="B7" s="1" t="s">
        <v>248</v>
      </c>
      <c r="C7" s="1">
        <v>30</v>
      </c>
      <c r="D7" s="1">
        <v>30</v>
      </c>
      <c r="E7" s="3" t="b">
        <v>0</v>
      </c>
      <c r="F7" s="1" t="s">
        <v>249</v>
      </c>
      <c r="G7" s="1">
        <v>46141</v>
      </c>
    </row>
    <row r="8" spans="1:7">
      <c r="A8" s="1" t="s">
        <v>66</v>
      </c>
      <c r="B8" s="1" t="s">
        <v>248</v>
      </c>
      <c r="C8" s="1">
        <v>30</v>
      </c>
      <c r="D8" s="1">
        <v>30</v>
      </c>
      <c r="E8" s="3" t="b">
        <v>0</v>
      </c>
      <c r="F8" s="1" t="s">
        <v>249</v>
      </c>
      <c r="G8" s="1">
        <v>46141</v>
      </c>
    </row>
    <row r="9" spans="1:7">
      <c r="A9" s="1" t="s">
        <v>69</v>
      </c>
      <c r="B9" s="1" t="s">
        <v>248</v>
      </c>
      <c r="C9" s="1">
        <v>30</v>
      </c>
      <c r="D9" s="1">
        <v>30</v>
      </c>
      <c r="E9" s="3" t="b">
        <v>0</v>
      </c>
      <c r="F9" s="1" t="s">
        <v>249</v>
      </c>
      <c r="G9" s="1">
        <v>46141</v>
      </c>
    </row>
    <row r="10" spans="1:7">
      <c r="A10" s="1" t="s">
        <v>72</v>
      </c>
      <c r="B10" s="1" t="s">
        <v>248</v>
      </c>
      <c r="C10" s="1">
        <v>30</v>
      </c>
      <c r="D10" s="1">
        <v>30</v>
      </c>
      <c r="E10" s="3" t="b">
        <v>0</v>
      </c>
      <c r="F10" s="1" t="s">
        <v>249</v>
      </c>
      <c r="G10" s="1">
        <v>46141</v>
      </c>
    </row>
    <row r="11" spans="1:7">
      <c r="A11" s="1" t="s">
        <v>75</v>
      </c>
      <c r="B11" s="1" t="s">
        <v>248</v>
      </c>
      <c r="C11" s="1">
        <v>30</v>
      </c>
      <c r="D11" s="1">
        <v>30</v>
      </c>
      <c r="E11" s="3" t="b">
        <v>0</v>
      </c>
      <c r="F11" s="1" t="s">
        <v>249</v>
      </c>
      <c r="G11" s="1">
        <v>46141</v>
      </c>
    </row>
    <row r="12" spans="1:7">
      <c r="A12" s="1" t="s">
        <v>78</v>
      </c>
      <c r="B12" s="1" t="s">
        <v>248</v>
      </c>
      <c r="C12" s="1">
        <v>30</v>
      </c>
      <c r="D12" s="1">
        <v>30</v>
      </c>
      <c r="E12" s="3" t="b">
        <v>0</v>
      </c>
      <c r="F12" s="1" t="s">
        <v>249</v>
      </c>
      <c r="G12" s="1">
        <v>46141</v>
      </c>
    </row>
    <row r="13" spans="1:7">
      <c r="A13" s="1" t="s">
        <v>81</v>
      </c>
      <c r="B13" s="1" t="s">
        <v>248</v>
      </c>
      <c r="C13" s="1">
        <v>30</v>
      </c>
      <c r="D13" s="1">
        <v>30</v>
      </c>
      <c r="E13" s="3" t="b">
        <v>0</v>
      </c>
      <c r="F13" s="1" t="s">
        <v>249</v>
      </c>
      <c r="G13" s="1">
        <v>46141</v>
      </c>
    </row>
    <row r="14" spans="1:7">
      <c r="A14" s="1" t="s">
        <v>84</v>
      </c>
      <c r="B14" s="1" t="s">
        <v>248</v>
      </c>
      <c r="C14" s="1">
        <v>30</v>
      </c>
      <c r="D14" s="1">
        <v>30</v>
      </c>
      <c r="E14" s="3" t="b">
        <v>0</v>
      </c>
      <c r="F14" s="1" t="s">
        <v>249</v>
      </c>
      <c r="G14" s="1">
        <v>46141</v>
      </c>
    </row>
    <row r="15" spans="1:7">
      <c r="A15" s="1" t="s">
        <v>87</v>
      </c>
      <c r="B15" s="1" t="s">
        <v>248</v>
      </c>
      <c r="C15" s="1">
        <v>30</v>
      </c>
      <c r="D15" s="1">
        <v>30</v>
      </c>
      <c r="E15" s="3" t="b">
        <v>0</v>
      </c>
      <c r="F15" s="1" t="s">
        <v>249</v>
      </c>
      <c r="G15" s="1">
        <v>46141</v>
      </c>
    </row>
    <row r="16" spans="1:7">
      <c r="A16" s="1" t="s">
        <v>90</v>
      </c>
      <c r="B16" s="1" t="s">
        <v>248</v>
      </c>
      <c r="C16" s="1">
        <v>30</v>
      </c>
      <c r="D16" s="1">
        <v>30</v>
      </c>
      <c r="E16" s="3" t="b">
        <v>0</v>
      </c>
      <c r="F16" s="1" t="s">
        <v>249</v>
      </c>
      <c r="G16" s="1">
        <v>46141</v>
      </c>
    </row>
    <row r="17" spans="1:7">
      <c r="A17" s="1" t="s">
        <v>93</v>
      </c>
      <c r="B17" s="1" t="s">
        <v>248</v>
      </c>
      <c r="C17" s="1">
        <v>30</v>
      </c>
      <c r="D17" s="1">
        <v>30</v>
      </c>
      <c r="E17" s="3" t="b">
        <v>0</v>
      </c>
      <c r="F17" s="1" t="s">
        <v>249</v>
      </c>
      <c r="G17" s="1">
        <v>46141</v>
      </c>
    </row>
    <row r="18" spans="1:7">
      <c r="A18" s="1" t="s">
        <v>96</v>
      </c>
      <c r="B18" s="1" t="s">
        <v>248</v>
      </c>
      <c r="C18" s="1">
        <v>30</v>
      </c>
      <c r="D18" s="1">
        <v>30</v>
      </c>
      <c r="E18" s="3" t="b">
        <v>0</v>
      </c>
      <c r="F18" s="1" t="s">
        <v>249</v>
      </c>
      <c r="G18" s="1">
        <v>46141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"/>
  <sheetViews>
    <sheetView workbookViewId="0"/>
  </sheetViews>
  <sheetFormatPr defaultRowHeight="13.9"/>
  <cols>
    <col min="1" max="1" width="34" customWidth="1"/>
    <col min="2" max="2" width="18" customWidth="1"/>
  </cols>
  <sheetData>
    <row r="1" spans="1:4">
      <c r="A1" s="53" t="s">
        <v>250</v>
      </c>
      <c r="B1" s="68">
        <v>225642537.30574211</v>
      </c>
      <c r="C1" s="69"/>
      <c r="D1" s="69"/>
    </row>
    <row r="2" spans="1:4">
      <c r="A2" s="1" t="s">
        <v>251</v>
      </c>
      <c r="B2" s="1">
        <v>0</v>
      </c>
    </row>
    <row r="3" spans="1:4">
      <c r="A3" s="1" t="s">
        <v>252</v>
      </c>
      <c r="B3" s="1">
        <v>46141</v>
      </c>
    </row>
    <row r="4" spans="1:4">
      <c r="A4" s="1" t="s">
        <v>253</v>
      </c>
      <c r="B4" s="1"/>
    </row>
    <row r="5" spans="1:4">
      <c r="A5" s="1" t="s">
        <v>254</v>
      </c>
      <c r="B5" s="1">
        <v>17602368.960000001</v>
      </c>
    </row>
    <row r="6" spans="1:4">
      <c r="A6" s="1" t="s">
        <v>255</v>
      </c>
      <c r="B6" s="1">
        <v>43429.560000000056</v>
      </c>
    </row>
    <row r="7" spans="1:4">
      <c r="A7" s="1" t="s">
        <v>256</v>
      </c>
      <c r="B7" s="1">
        <v>22058158.700193774</v>
      </c>
    </row>
    <row r="8" spans="1:4">
      <c r="A8" s="1" t="s">
        <v>257</v>
      </c>
      <c r="B8" s="1">
        <v>39703957.220193774</v>
      </c>
    </row>
    <row r="9" spans="1:4">
      <c r="A9" s="1" t="s">
        <v>258</v>
      </c>
      <c r="B9" s="1">
        <v>0</v>
      </c>
    </row>
    <row r="10" spans="1:4">
      <c r="A10" s="1" t="s">
        <v>259</v>
      </c>
      <c r="B10" s="1">
        <v>0.17595954067116135</v>
      </c>
    </row>
    <row r="11" spans="1:4">
      <c r="A11" s="1" t="s">
        <v>260</v>
      </c>
      <c r="B11" s="1"/>
    </row>
    <row r="12" spans="1:4">
      <c r="A12" s="1" t="s">
        <v>261</v>
      </c>
      <c r="B12" s="1"/>
    </row>
    <row r="13" spans="1:4">
      <c r="A13" s="1" t="s">
        <v>262</v>
      </c>
      <c r="B13" s="1">
        <v>24</v>
      </c>
    </row>
    <row r="14" spans="1:4">
      <c r="A14" s="1" t="s">
        <v>263</v>
      </c>
      <c r="B14" s="1">
        <v>4</v>
      </c>
    </row>
    <row r="15" spans="1:4">
      <c r="A15" s="1" t="s">
        <v>264</v>
      </c>
      <c r="B15" s="1">
        <v>17</v>
      </c>
    </row>
    <row r="16" spans="1:4">
      <c r="A16" s="1" t="s">
        <v>265</v>
      </c>
      <c r="B16" s="1">
        <v>3</v>
      </c>
    </row>
    <row r="17" spans="1:2">
      <c r="A17" s="1" t="s">
        <v>266</v>
      </c>
      <c r="B17" s="1">
        <v>0</v>
      </c>
    </row>
    <row r="18" spans="1:2">
      <c r="A18" s="1" t="s">
        <v>267</v>
      </c>
      <c r="B18" s="1">
        <v>0</v>
      </c>
    </row>
    <row r="19" spans="1:2">
      <c r="A19" s="1" t="s">
        <v>268</v>
      </c>
      <c r="B19" s="1">
        <v>0</v>
      </c>
    </row>
    <row r="20" spans="1:2">
      <c r="A20" s="1" t="s">
        <v>269</v>
      </c>
      <c r="B20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/>
  </sheetViews>
  <sheetFormatPr defaultRowHeight="13.9"/>
  <cols>
    <col min="1" max="1" width="10.375" customWidth="1"/>
    <col min="2" max="2" width="14" customWidth="1"/>
    <col min="3" max="3" width="20" customWidth="1"/>
    <col min="4" max="4" width="11" customWidth="1"/>
    <col min="5" max="5" width="13.625" customWidth="1"/>
    <col min="6" max="6" width="12.875" customWidth="1"/>
    <col min="7" max="7" width="17.625" customWidth="1"/>
  </cols>
  <sheetData>
    <row r="1" spans="1:7" ht="30" customHeight="1">
      <c r="A1" s="65" t="s">
        <v>270</v>
      </c>
      <c r="B1" s="65" t="s">
        <v>254</v>
      </c>
      <c r="C1" s="65" t="s">
        <v>255</v>
      </c>
      <c r="D1" s="65" t="s">
        <v>256</v>
      </c>
      <c r="E1" s="65" t="s">
        <v>257</v>
      </c>
      <c r="F1" s="65" t="s">
        <v>258</v>
      </c>
      <c r="G1" s="65" t="s">
        <v>126</v>
      </c>
    </row>
    <row r="2" spans="1:7">
      <c r="A2" s="1">
        <v>46073</v>
      </c>
      <c r="B2" s="1">
        <v>17602368.960000001</v>
      </c>
      <c r="C2" s="1">
        <v>43429.560000000056</v>
      </c>
      <c r="D2" s="1">
        <v>22058158.700193774</v>
      </c>
      <c r="E2" s="1">
        <v>39703957.220193774</v>
      </c>
      <c r="F2" s="1">
        <v>0</v>
      </c>
      <c r="G2" s="1" t="s">
        <v>271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4"/>
  <sheetViews>
    <sheetView workbookViewId="0"/>
  </sheetViews>
  <sheetFormatPr defaultRowHeight="13.9"/>
  <cols>
    <col min="1" max="1" width="11.75" customWidth="1"/>
    <col min="2" max="2" width="30.75" customWidth="1"/>
    <col min="3" max="3" width="16.25" customWidth="1"/>
    <col min="4" max="4" width="7.75" customWidth="1"/>
    <col min="5" max="5" width="16.25" customWidth="1"/>
    <col min="7" max="7" width="8.5" customWidth="1"/>
    <col min="8" max="8" width="7.375" customWidth="1"/>
    <col min="9" max="9" width="9.375" customWidth="1"/>
    <col min="10" max="10" width="8.75" customWidth="1"/>
    <col min="11" max="11" width="11" customWidth="1"/>
    <col min="12" max="12" width="12.5" customWidth="1"/>
    <col min="13" max="13" width="8.875" customWidth="1"/>
  </cols>
  <sheetData>
    <row r="1" spans="1:13" ht="30" customHeight="1">
      <c r="A1" s="65" t="s">
        <v>272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>
      <c r="A2" s="1" t="s">
        <v>273</v>
      </c>
      <c r="B2" s="1" t="s">
        <v>274</v>
      </c>
      <c r="C2" s="1" t="s">
        <v>275</v>
      </c>
      <c r="D2" s="1" t="s">
        <v>276</v>
      </c>
      <c r="E2" s="1" t="s">
        <v>277</v>
      </c>
      <c r="F2" s="1"/>
      <c r="G2" s="1" t="s">
        <v>116</v>
      </c>
      <c r="H2" s="1" t="s">
        <v>119</v>
      </c>
      <c r="I2" s="1" t="s">
        <v>191</v>
      </c>
      <c r="J2" s="1" t="s">
        <v>192</v>
      </c>
      <c r="K2" s="1" t="s">
        <v>200</v>
      </c>
      <c r="L2" s="1" t="s">
        <v>122</v>
      </c>
      <c r="M2" s="1" t="s">
        <v>278</v>
      </c>
    </row>
    <row r="3" spans="1:13">
      <c r="A3" s="1" t="s">
        <v>279</v>
      </c>
      <c r="B3" s="1" t="s">
        <v>280</v>
      </c>
      <c r="C3" s="1" t="s">
        <v>133</v>
      </c>
      <c r="D3" s="1" t="s">
        <v>281</v>
      </c>
      <c r="E3" s="1" t="s">
        <v>282</v>
      </c>
      <c r="F3" s="1"/>
      <c r="G3" s="1" t="s">
        <v>127</v>
      </c>
      <c r="H3" s="1" t="s">
        <v>11</v>
      </c>
      <c r="I3" s="1" t="s">
        <v>283</v>
      </c>
      <c r="J3" s="1" t="s">
        <v>155</v>
      </c>
      <c r="K3" s="1" t="s">
        <v>284</v>
      </c>
      <c r="L3" s="1" t="s">
        <v>7</v>
      </c>
      <c r="M3" s="1" t="s">
        <v>285</v>
      </c>
    </row>
    <row r="4" spans="1:13">
      <c r="A4" s="1" t="s">
        <v>279</v>
      </c>
      <c r="B4" s="1" t="s">
        <v>286</v>
      </c>
      <c r="C4" s="1" t="s">
        <v>133</v>
      </c>
      <c r="D4" s="1" t="s">
        <v>287</v>
      </c>
      <c r="E4" s="1" t="s">
        <v>129</v>
      </c>
      <c r="F4" s="1"/>
      <c r="G4" s="1" t="s">
        <v>187</v>
      </c>
      <c r="H4" s="1" t="s">
        <v>136</v>
      </c>
      <c r="I4" s="1" t="s">
        <v>288</v>
      </c>
      <c r="J4" s="1" t="s">
        <v>158</v>
      </c>
      <c r="K4" s="1" t="s">
        <v>289</v>
      </c>
      <c r="L4" s="1" t="s">
        <v>9</v>
      </c>
      <c r="M4" s="1" t="s">
        <v>290</v>
      </c>
    </row>
    <row r="5" spans="1:13">
      <c r="A5" s="1" t="s">
        <v>137</v>
      </c>
      <c r="B5" s="1" t="s">
        <v>291</v>
      </c>
      <c r="C5" s="1" t="s">
        <v>138</v>
      </c>
      <c r="D5" s="1" t="s">
        <v>292</v>
      </c>
      <c r="E5" s="1" t="s">
        <v>293</v>
      </c>
      <c r="F5" s="1"/>
      <c r="G5" s="1"/>
      <c r="H5" s="1" t="s">
        <v>7</v>
      </c>
      <c r="I5" s="1" t="s">
        <v>294</v>
      </c>
      <c r="J5" s="1" t="s">
        <v>157</v>
      </c>
      <c r="K5" s="1" t="s">
        <v>295</v>
      </c>
      <c r="L5" s="1" t="s">
        <v>162</v>
      </c>
      <c r="M5" s="1"/>
    </row>
    <row r="6" spans="1:13">
      <c r="A6" s="1" t="s">
        <v>128</v>
      </c>
      <c r="B6" s="1" t="s">
        <v>296</v>
      </c>
      <c r="C6" s="1" t="s">
        <v>129</v>
      </c>
      <c r="D6" s="1" t="s">
        <v>297</v>
      </c>
      <c r="E6" s="1" t="s">
        <v>298</v>
      </c>
      <c r="F6" s="1"/>
      <c r="G6" s="1"/>
      <c r="H6" s="1" t="s">
        <v>299</v>
      </c>
      <c r="I6" s="1" t="s">
        <v>118</v>
      </c>
      <c r="J6" s="1" t="s">
        <v>183</v>
      </c>
      <c r="K6" s="1" t="s">
        <v>300</v>
      </c>
      <c r="L6" s="1" t="s">
        <v>301</v>
      </c>
      <c r="M6" s="1"/>
    </row>
    <row r="7" spans="1:13">
      <c r="A7" s="1" t="s">
        <v>302</v>
      </c>
      <c r="B7" s="1" t="s">
        <v>303</v>
      </c>
      <c r="C7" s="1" t="s">
        <v>129</v>
      </c>
      <c r="D7" s="1" t="s">
        <v>304</v>
      </c>
      <c r="E7" s="1" t="s">
        <v>133</v>
      </c>
      <c r="F7" s="1"/>
      <c r="G7" s="1"/>
      <c r="H7" s="1"/>
      <c r="I7" s="1" t="s">
        <v>220</v>
      </c>
      <c r="J7" s="1" t="s">
        <v>305</v>
      </c>
      <c r="K7" s="1" t="s">
        <v>306</v>
      </c>
      <c r="L7" s="1"/>
      <c r="M7" s="1"/>
    </row>
    <row r="8" spans="1:13">
      <c r="A8" s="1" t="s">
        <v>134</v>
      </c>
      <c r="B8" s="1" t="s">
        <v>307</v>
      </c>
      <c r="C8" s="1" t="s">
        <v>135</v>
      </c>
      <c r="D8" s="1" t="s">
        <v>308</v>
      </c>
      <c r="E8" s="1" t="s">
        <v>135</v>
      </c>
      <c r="F8" s="1"/>
      <c r="G8" s="1"/>
      <c r="H8" s="1"/>
      <c r="I8" s="1" t="s">
        <v>309</v>
      </c>
      <c r="J8" s="1"/>
      <c r="K8" s="1" t="s">
        <v>310</v>
      </c>
      <c r="L8" s="1"/>
      <c r="M8" s="1"/>
    </row>
    <row r="9" spans="1:13">
      <c r="A9" s="1" t="s">
        <v>311</v>
      </c>
      <c r="B9" s="1" t="s">
        <v>312</v>
      </c>
      <c r="C9" s="1" t="s">
        <v>293</v>
      </c>
      <c r="D9" s="1" t="s">
        <v>313</v>
      </c>
      <c r="E9" s="1" t="s">
        <v>138</v>
      </c>
      <c r="F9" s="1"/>
      <c r="G9" s="1"/>
      <c r="H9" s="1"/>
      <c r="I9" s="1" t="s">
        <v>314</v>
      </c>
      <c r="J9" s="1"/>
      <c r="K9" s="1" t="s">
        <v>315</v>
      </c>
      <c r="L9" s="1"/>
      <c r="M9" s="1"/>
    </row>
    <row r="10" spans="1:13">
      <c r="A10" s="1" t="s">
        <v>316</v>
      </c>
      <c r="B10" s="1" t="s">
        <v>317</v>
      </c>
      <c r="C10" s="1" t="s">
        <v>298</v>
      </c>
      <c r="D10" s="1" t="s">
        <v>318</v>
      </c>
      <c r="E10" s="1"/>
      <c r="F10" s="1"/>
      <c r="G10" s="1"/>
      <c r="H10" s="1"/>
      <c r="I10" s="1" t="s">
        <v>305</v>
      </c>
      <c r="J10" s="1"/>
      <c r="K10" s="1" t="s">
        <v>319</v>
      </c>
      <c r="L10" s="1"/>
      <c r="M10" s="1"/>
    </row>
    <row r="11" spans="1:13">
      <c r="A11" s="1" t="s">
        <v>320</v>
      </c>
      <c r="B11" s="1" t="s">
        <v>321</v>
      </c>
      <c r="C11" s="1" t="s">
        <v>282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 t="s">
        <v>322</v>
      </c>
      <c r="B12" s="1" t="s">
        <v>323</v>
      </c>
      <c r="C12" s="1" t="s">
        <v>282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 t="s">
        <v>324</v>
      </c>
      <c r="B13" s="1" t="s">
        <v>325</v>
      </c>
      <c r="C13" s="1" t="s">
        <v>282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 t="s">
        <v>326</v>
      </c>
      <c r="B14" s="1" t="s">
        <v>327</v>
      </c>
      <c r="C14" s="1" t="s">
        <v>282</v>
      </c>
      <c r="D14" s="1"/>
      <c r="E14" s="1"/>
      <c r="F14" s="1"/>
      <c r="G14" s="1"/>
      <c r="H14" s="1"/>
      <c r="I14" s="1"/>
      <c r="J14" s="1"/>
      <c r="K14" s="1"/>
      <c r="L14" s="1"/>
      <c r="M14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"/>
  <sheetViews>
    <sheetView workbookViewId="0"/>
  </sheetViews>
  <sheetFormatPr defaultRowHeight="13.9"/>
  <cols>
    <col min="1" max="6" width="18" customWidth="1"/>
  </cols>
  <sheetData>
    <row r="1" spans="1:6">
      <c r="A1" s="50" t="s">
        <v>328</v>
      </c>
      <c r="B1" s="50">
        <v>1</v>
      </c>
      <c r="C1" s="50">
        <v>2</v>
      </c>
      <c r="D1" s="50">
        <v>3</v>
      </c>
      <c r="E1" s="50">
        <v>4</v>
      </c>
      <c r="F1" s="50">
        <v>5</v>
      </c>
    </row>
    <row r="2" spans="1:6">
      <c r="A2" s="1" t="s">
        <v>329</v>
      </c>
      <c r="B2" s="1" t="s">
        <v>330</v>
      </c>
      <c r="C2" s="1" t="s">
        <v>331</v>
      </c>
      <c r="D2" s="1" t="s">
        <v>331</v>
      </c>
      <c r="E2" s="1" t="s">
        <v>332</v>
      </c>
      <c r="F2" s="1" t="s">
        <v>332</v>
      </c>
    </row>
    <row r="3" spans="1:6">
      <c r="A3" s="1" t="s">
        <v>333</v>
      </c>
      <c r="B3" s="1" t="s">
        <v>330</v>
      </c>
      <c r="C3" s="1" t="s">
        <v>330</v>
      </c>
      <c r="D3" s="1" t="s">
        <v>331</v>
      </c>
      <c r="E3" s="1" t="s">
        <v>331</v>
      </c>
      <c r="F3" s="1" t="s">
        <v>332</v>
      </c>
    </row>
    <row r="4" spans="1:6">
      <c r="A4" s="1" t="s">
        <v>334</v>
      </c>
      <c r="B4" s="1" t="s">
        <v>335</v>
      </c>
      <c r="C4" s="1" t="s">
        <v>330</v>
      </c>
      <c r="D4" s="1" t="s">
        <v>330</v>
      </c>
      <c r="E4" s="1" t="s">
        <v>331</v>
      </c>
      <c r="F4" s="1" t="s">
        <v>331</v>
      </c>
    </row>
    <row r="5" spans="1:6">
      <c r="A5" s="1" t="s">
        <v>336</v>
      </c>
      <c r="B5" s="1" t="s">
        <v>335</v>
      </c>
      <c r="C5" s="1" t="s">
        <v>335</v>
      </c>
      <c r="D5" s="1" t="s">
        <v>330</v>
      </c>
      <c r="E5" s="1" t="s">
        <v>330</v>
      </c>
      <c r="F5" s="1" t="s">
        <v>331</v>
      </c>
    </row>
    <row r="6" spans="1:6">
      <c r="A6" s="1" t="s">
        <v>337</v>
      </c>
      <c r="B6" s="1" t="s">
        <v>335</v>
      </c>
      <c r="C6" s="1" t="s">
        <v>335</v>
      </c>
      <c r="D6" s="1" t="s">
        <v>335</v>
      </c>
      <c r="E6" s="1" t="s">
        <v>330</v>
      </c>
      <c r="F6" s="1" t="s">
        <v>330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4"/>
  <sheetViews>
    <sheetView workbookViewId="0"/>
  </sheetViews>
  <sheetFormatPr defaultRowHeight="13.9"/>
  <cols>
    <col min="1" max="1" width="34" customWidth="1"/>
    <col min="2" max="2" width="18" customWidth="1"/>
  </cols>
  <sheetData>
    <row r="1" spans="1:4" ht="41.45">
      <c r="A1" s="53" t="s">
        <v>338</v>
      </c>
      <c r="B1" s="68" t="s">
        <v>32</v>
      </c>
      <c r="C1" s="53" t="s">
        <v>339</v>
      </c>
      <c r="D1" s="53" t="s">
        <v>340</v>
      </c>
    </row>
    <row r="2" spans="1:4">
      <c r="A2" s="1" t="s">
        <v>341</v>
      </c>
      <c r="B2" s="1" t="s">
        <v>342</v>
      </c>
      <c r="C2" s="1" t="s">
        <v>343</v>
      </c>
      <c r="D2" s="1" t="s">
        <v>344</v>
      </c>
    </row>
    <row r="3" spans="1:4">
      <c r="A3" s="1" t="s">
        <v>20</v>
      </c>
      <c r="B3" s="1">
        <v>46141</v>
      </c>
      <c r="C3" s="1" t="s">
        <v>345</v>
      </c>
      <c r="D3" s="1" t="s">
        <v>346</v>
      </c>
    </row>
    <row r="4" spans="1:4">
      <c r="A4" s="1" t="s">
        <v>15</v>
      </c>
      <c r="B4" s="1">
        <v>225642537.30574211</v>
      </c>
      <c r="C4" s="1" t="s">
        <v>347</v>
      </c>
      <c r="D4" s="1" t="s">
        <v>348</v>
      </c>
    </row>
    <row r="5" spans="1:4">
      <c r="A5" s="1" t="s">
        <v>349</v>
      </c>
      <c r="B5" s="1" t="s">
        <v>7</v>
      </c>
      <c r="C5" s="1" t="s">
        <v>350</v>
      </c>
      <c r="D5" s="1" t="s">
        <v>351</v>
      </c>
    </row>
    <row r="6" spans="1:4">
      <c r="A6" s="1" t="s">
        <v>352</v>
      </c>
      <c r="B6" s="1">
        <v>2800000</v>
      </c>
      <c r="C6" s="1" t="s">
        <v>353</v>
      </c>
      <c r="D6" s="1" t="s">
        <v>354</v>
      </c>
    </row>
    <row r="7" spans="1:4">
      <c r="A7" s="1" t="s">
        <v>355</v>
      </c>
      <c r="B7" s="1">
        <v>212683.6</v>
      </c>
      <c r="C7" s="1" t="s">
        <v>356</v>
      </c>
      <c r="D7" s="1" t="s">
        <v>357</v>
      </c>
    </row>
    <row r="8" spans="1:4">
      <c r="A8" s="1" t="s">
        <v>358</v>
      </c>
      <c r="B8" s="1">
        <v>-1539742.0060000001</v>
      </c>
      <c r="C8" s="1" t="s">
        <v>359</v>
      </c>
      <c r="D8" s="1" t="s">
        <v>360</v>
      </c>
    </row>
    <row r="9" spans="1:4">
      <c r="A9" s="1" t="s">
        <v>361</v>
      </c>
      <c r="B9" s="1">
        <v>22058158.700193774</v>
      </c>
      <c r="C9" s="1" t="s">
        <v>347</v>
      </c>
      <c r="D9" s="1" t="s">
        <v>362</v>
      </c>
    </row>
    <row r="10" spans="1:4">
      <c r="A10" s="1" t="s">
        <v>363</v>
      </c>
      <c r="B10" s="1">
        <v>17602368.960000001</v>
      </c>
      <c r="C10" s="1" t="s">
        <v>364</v>
      </c>
      <c r="D10" s="1" t="s">
        <v>365</v>
      </c>
    </row>
    <row r="11" spans="1:4">
      <c r="A11" s="1" t="s">
        <v>366</v>
      </c>
      <c r="B11" s="1">
        <v>43429.560000000056</v>
      </c>
      <c r="C11" s="1" t="s">
        <v>364</v>
      </c>
      <c r="D11" s="1" t="s">
        <v>367</v>
      </c>
    </row>
    <row r="12" spans="1:4">
      <c r="A12" s="1" t="s">
        <v>368</v>
      </c>
      <c r="B12" s="1">
        <v>22058158.700193774</v>
      </c>
      <c r="C12" s="1" t="s">
        <v>364</v>
      </c>
      <c r="D12" s="1" t="s">
        <v>369</v>
      </c>
    </row>
    <row r="13" spans="1:4">
      <c r="A13" s="1" t="s">
        <v>370</v>
      </c>
      <c r="B13" s="1">
        <v>39703957.220193774</v>
      </c>
      <c r="C13" s="1" t="s">
        <v>371</v>
      </c>
      <c r="D13" s="1" t="s">
        <v>372</v>
      </c>
    </row>
    <row r="14" spans="1:4">
      <c r="A14" s="1" t="s">
        <v>373</v>
      </c>
      <c r="B14" s="1">
        <v>265346494.52593589</v>
      </c>
      <c r="C14" s="1" t="s">
        <v>374</v>
      </c>
      <c r="D14" s="1" t="s">
        <v>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Description xmlns="7d3fcbe7-f8fe-45ed-837c-39752468457d" xsi:nil="true"/>
    <DocType xmlns="7d3fcbe7-f8fe-45ed-837c-3975246845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EC1358D194D945856BA3B033AE79B5" ma:contentTypeVersion="6" ma:contentTypeDescription="Create a new document." ma:contentTypeScope="" ma:versionID="5f9f1e44342a17235214da3acf94d023">
  <xsd:schema xmlns:xsd="http://www.w3.org/2001/XMLSchema" xmlns:xs="http://www.w3.org/2001/XMLSchema" xmlns:p="http://schemas.microsoft.com/office/2006/metadata/properties" xmlns:ns2="7d3fcbe7-f8fe-45ed-837c-39752468457d" targetNamespace="http://schemas.microsoft.com/office/2006/metadata/properties" ma:root="true" ma:fieldsID="280ccd145e7474c621c0b17cd1b94e6b" ns2:_="">
    <xsd:import namespace="7d3fcbe7-f8fe-45ed-837c-39752468457d"/>
    <xsd:element name="properties">
      <xsd:complexType>
        <xsd:sequence>
          <xsd:element name="documentManagement">
            <xsd:complexType>
              <xsd:all>
                <xsd:element ref="ns2:Doc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ocument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fcbe7-f8fe-45ed-837c-39752468457d" elementFormDefault="qualified">
    <xsd:import namespace="http://schemas.microsoft.com/office/2006/documentManagement/types"/>
    <xsd:import namespace="http://schemas.microsoft.com/office/infopath/2007/PartnerControls"/>
    <xsd:element name="DocType" ma:index="8" nillable="true" ma:displayName="Doc Type" ma:format="Dropdown" ma:internalName="DocType">
      <xsd:simpleType>
        <xsd:restriction base="dms:Choice">
          <xsd:enumeration value="Project Plan"/>
          <xsd:enumeration value="Project Procedure"/>
          <xsd:enumeration value="Register"/>
          <xsd:enumeration value="Standard"/>
          <xsd:enumeration value="Flow Chart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ocumentDescription" ma:index="12" nillable="true" ma:displayName="Document Description" ma:format="Dropdown" ma:internalName="DocumentDescript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D853F6-E481-44C5-AEC0-1BD4E414BB21}"/>
</file>

<file path=customXml/itemProps2.xml><?xml version="1.0" encoding="utf-8"?>
<ds:datastoreItem xmlns:ds="http://schemas.openxmlformats.org/officeDocument/2006/customXml" ds:itemID="{A27F47AF-EC15-4769-A8C1-951292C98BD6}"/>
</file>

<file path=customXml/itemProps3.xml><?xml version="1.0" encoding="utf-8"?>
<ds:datastoreItem xmlns:ds="http://schemas.openxmlformats.org/officeDocument/2006/customXml" ds:itemID="{308E9D39-CDB4-40E5-91AF-27BA129D1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Morne Cronje</dc:creator>
  <cp:keywords/>
  <dc:description/>
  <cp:lastModifiedBy/>
  <cp:revision/>
  <dcterms:created xsi:type="dcterms:W3CDTF">2026-05-11T09:09:52Z</dcterms:created>
  <dcterms:modified xsi:type="dcterms:W3CDTF">2026-06-09T12:12:18Z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0x01010048EC1358D194D945856BA3B033AE79B5</vt:lpwstr>
  </property>
</Properties>
</file>